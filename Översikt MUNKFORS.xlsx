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449-2022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44566</v>
      </c>
      <c r="E2" s="1" t="n">
        <v>46315</v>
      </c>
      <c r="F2" t="inlineStr">
        <is>
          <t>VÄRMLANDS LÄN</t>
        </is>
      </c>
      <c r="G2" t="inlineStr">
        <is>
          <t>MUNKFORS</t>
        </is>
      </c>
      <c r="H2" t="inlineStr">
        <is>
          <t>Bergvik skog väst AB</t>
        </is>
      </c>
      <c r="I2" t="n">
        <v>2.8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</v>
      </c>
      <c r="T2" t="n">
        <v>4</v>
      </c>
      <c r="U2" t="n">
        <v>4</v>
      </c>
      <c r="V2" s="2" t="inlineStr">
        <is>
          <t>Tofsmes
Grönsiska
Kungsfågel
Svartvit flugsnappare</t>
        </is>
      </c>
      <c r="W2">
        <f>HYPERLINK("https://klasma.github.io/Logging_1762/artfynd/A 449-2022 artfynd.xlsx", "A 449-2022")</f>
        <v/>
      </c>
      <c r="X2">
        <f>HYPERLINK("https://klasma.github.io/Logging_1762/kartor/A 449-2022 karta.png", "A 449-2022")</f>
        <v/>
      </c>
      <c r="Y2">
        <f>HYPERLINK("https://klasma.github.io/Logging_1762/kartor_geotiff/A 449-2022 georefererad karta.tif", "A 449-2022")</f>
        <v/>
      </c>
      <c r="AA2">
        <f>HYPERLINK("https://klasma.github.io/Logging_1762/klagomål/A 449-2022 FSC-klagomål.docx", "A 449-2022")</f>
        <v/>
      </c>
      <c r="AB2">
        <f>HYPERLINK("https://klasma.github.io/Logging_1762/klagomålsmail/A 449-2022 FSC-klagomål mail.docx", "A 449-2022")</f>
        <v/>
      </c>
      <c r="AC2">
        <f>HYPERLINK("https://klasma.github.io/Logging_1762/tillsyn/A 449-2022 tillsynsbegäran.docx", "A 449-2022")</f>
        <v/>
      </c>
      <c r="AD2">
        <f>HYPERLINK("https://klasma.github.io/Logging_1762/tillsynsmail/A 449-2022 tillsynsbegäran mail.docx", "A 449-2022")</f>
        <v/>
      </c>
    </row>
    <row r="3" ht="15" customHeight="1">
      <c r="A3" t="inlineStr">
        <is>
          <t>A 44111-2023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45188</v>
      </c>
      <c r="E3" s="1" t="n">
        <v>46315</v>
      </c>
      <c r="F3" t="inlineStr">
        <is>
          <t>VÄRMLANDS LÄN</t>
        </is>
      </c>
      <c r="G3" t="inlineStr">
        <is>
          <t>MUNKFORS</t>
        </is>
      </c>
      <c r="I3" t="n">
        <v>7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1</v>
      </c>
      <c r="S3" t="n">
        <v>2</v>
      </c>
      <c r="T3" t="n">
        <v>2</v>
      </c>
      <c r="U3" t="n">
        <v>0</v>
      </c>
      <c r="V3" s="2" t="inlineStr">
        <is>
          <t>Daggvide
Bågsäv</t>
        </is>
      </c>
      <c r="W3">
        <f>HYPERLINK("https://klasma.github.io/Logging_1762/artfynd/A 44111-2023 artfynd.xlsx", "A 44111-2023")</f>
        <v/>
      </c>
      <c r="X3">
        <f>HYPERLINK("https://klasma.github.io/Logging_1762/kartor/A 44111-2023 karta.png", "A 44111-2023")</f>
        <v/>
      </c>
      <c r="Y3">
        <f>HYPERLINK("https://klasma.github.io/Logging_1762/kartor_geotiff/A 44111-2023 georefererad karta.tif", "A 44111-2023")</f>
        <v/>
      </c>
      <c r="AA3">
        <f>HYPERLINK("https://klasma.github.io/Logging_1762/klagomål/A 44111-2023 FSC-klagomål.docx", "A 44111-2023")</f>
        <v/>
      </c>
      <c r="AB3">
        <f>HYPERLINK("https://klasma.github.io/Logging_1762/klagomålsmail/A 44111-2023 FSC-klagomål mail.docx", "A 44111-2023")</f>
        <v/>
      </c>
      <c r="AC3">
        <f>HYPERLINK("https://klasma.github.io/Logging_1762/tillsyn/A 44111-2023 tillsynsbegäran.docx", "A 44111-2023")</f>
        <v/>
      </c>
      <c r="AD3">
        <f>HYPERLINK("https://klasma.github.io/Logging_1762/tillsynsmail/A 44111-2023 tillsynsbegäran mail.docx", "A 44111-2023")</f>
        <v/>
      </c>
    </row>
    <row r="4" ht="15" customHeight="1">
      <c r="A4" t="inlineStr">
        <is>
          <t>A 34758-2026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46258</v>
      </c>
      <c r="E4" s="1" t="n">
        <v>46315</v>
      </c>
      <c r="F4" t="inlineStr">
        <is>
          <t>VÄRMLANDS LÄN</t>
        </is>
      </c>
      <c r="G4" t="inlineStr">
        <is>
          <t>MUNKFORS</t>
        </is>
      </c>
      <c r="H4" t="inlineStr">
        <is>
          <t>Bergvik skog väst AB</t>
        </is>
      </c>
      <c r="I4" t="n">
        <v>5.7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s="2" t="inlineStr">
        <is>
          <t>Dvärgbägarlav</t>
        </is>
      </c>
      <c r="W4">
        <f>HYPERLINK("https://klasma.github.io/Logging_1762/artfynd/A 34758-2026 artfynd.xlsx", "A 34758-2026")</f>
        <v/>
      </c>
      <c r="X4">
        <f>HYPERLINK("https://klasma.github.io/Logging_1762/kartor/A 34758-2026 karta.png", "A 34758-2026")</f>
        <v/>
      </c>
      <c r="Y4">
        <f>HYPERLINK("https://klasma.github.io/Logging_1762/kartor_geotiff/A 34758-2026 georefererad karta.tif", "A 34758-2026")</f>
        <v/>
      </c>
      <c r="AA4">
        <f>HYPERLINK("https://klasma.github.io/Logging_1762/klagomål/A 34758-2026 FSC-klagomål.docx", "A 34758-2026")</f>
        <v/>
      </c>
      <c r="AB4">
        <f>HYPERLINK("https://klasma.github.io/Logging_1762/klagomålsmail/A 34758-2026 FSC-klagomål mail.docx", "A 34758-2026")</f>
        <v/>
      </c>
      <c r="AC4">
        <f>HYPERLINK("https://klasma.github.io/Logging_1762/tillsyn/A 34758-2026 tillsynsbegäran.docx", "A 34758-2026")</f>
        <v/>
      </c>
      <c r="AD4">
        <f>HYPERLINK("https://klasma.github.io/Logging_1762/tillsynsmail/A 34758-2026 tillsynsbegäran mail.docx", "A 34758-2026")</f>
        <v/>
      </c>
    </row>
    <row r="5" ht="15" customHeight="1">
      <c r="A5" t="inlineStr">
        <is>
          <t>S 13-2026</t>
        </is>
      </c>
      <c r="B5" t="inlineStr">
        <is>
          <t>samrådsanmälan</t>
        </is>
      </c>
      <c r="C5" t="inlineStr">
        <is>
          <t>Skogsgödsling</t>
        </is>
      </c>
      <c r="D5" s="1" t="n">
        <v>46009</v>
      </c>
      <c r="E5" s="1" t="n">
        <v>46315</v>
      </c>
      <c r="F5" t="inlineStr">
        <is>
          <t>VÄRMLANDS LÄN</t>
        </is>
      </c>
      <c r="G5" t="inlineStr">
        <is>
          <t>MUNKFORS</t>
        </is>
      </c>
      <c r="H5" t="inlineStr">
        <is>
          <t>Bergvik skog väst AB</t>
        </is>
      </c>
      <c r="I5" t="n">
        <v>63.5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s="2" t="inlineStr">
        <is>
          <t>Fläcknycklar</t>
        </is>
      </c>
      <c r="W5">
        <f>HYPERLINK("https://klasma.github.io/Logging_1762/artfynd/S 13-2026 artfynd.xlsx", "S 13-2026")</f>
        <v/>
      </c>
      <c r="X5">
        <f>HYPERLINK("https://klasma.github.io/Logging_1762/kartor/S 13-2026 karta.png", "S 13-2026")</f>
        <v/>
      </c>
      <c r="Y5">
        <f>HYPERLINK("https://klasma.github.io/Logging_1762/kartor_geotiff/S 13-2026 georefererad karta.tif", "S 13-2026")</f>
        <v/>
      </c>
      <c r="AA5">
        <f>HYPERLINK("https://klasma.github.io/Logging_1762/klagomål/S 13-2026 FSC-klagomål.docx", "S 13-2026")</f>
        <v/>
      </c>
      <c r="AB5">
        <f>HYPERLINK("https://klasma.github.io/Logging_1762/klagomålsmail/S 13-2026 FSC-klagomål mail.docx", "S 13-2026")</f>
        <v/>
      </c>
      <c r="AC5">
        <f>HYPERLINK("https://klasma.github.io/Logging_1762/tillsyn/S 13-2026 tillsynsbegäran.docx", "S 13-2026")</f>
        <v/>
      </c>
      <c r="AD5">
        <f>HYPERLINK("https://klasma.github.io/Logging_1762/tillsynsmail/S 13-2026 tillsynsbegäran mail.docx", "S 13-2026")</f>
        <v/>
      </c>
    </row>
    <row r="6" ht="15" customHeight="1">
      <c r="A6" t="inlineStr">
        <is>
          <t>A 28316-2022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44747</v>
      </c>
      <c r="E6" s="1" t="n">
        <v>46315</v>
      </c>
      <c r="F6" t="inlineStr">
        <is>
          <t>VÄRMLANDS LÄN</t>
        </is>
      </c>
      <c r="G6" t="inlineStr">
        <is>
          <t>MUNKFORS</t>
        </is>
      </c>
      <c r="I6" t="n">
        <v>2.2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 ht="15" customHeight="1">
      <c r="A7" t="inlineStr">
        <is>
          <t>A 24566-2022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44727</v>
      </c>
      <c r="E7" s="1" t="n">
        <v>46315</v>
      </c>
      <c r="F7" t="inlineStr">
        <is>
          <t>VÄRMLANDS LÄN</t>
        </is>
      </c>
      <c r="G7" t="inlineStr">
        <is>
          <t>MUNKFORS</t>
        </is>
      </c>
      <c r="I7" t="n">
        <v>0.7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13599-2022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44648</v>
      </c>
      <c r="E8" s="1" t="n">
        <v>46315</v>
      </c>
      <c r="F8" t="inlineStr">
        <is>
          <t>VÄRMLANDS LÄN</t>
        </is>
      </c>
      <c r="G8" t="inlineStr">
        <is>
          <t>MUNKFORS</t>
        </is>
      </c>
      <c r="I8" t="n">
        <v>0.6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69319-2021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44531</v>
      </c>
      <c r="E9" s="1" t="n">
        <v>46315</v>
      </c>
      <c r="F9" t="inlineStr">
        <is>
          <t>VÄRMLANDS LÄN</t>
        </is>
      </c>
      <c r="G9" t="inlineStr">
        <is>
          <t>MUNKFORS</t>
        </is>
      </c>
      <c r="I9" t="n">
        <v>0.9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13576-2022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44648</v>
      </c>
      <c r="E10" s="1" t="n">
        <v>46315</v>
      </c>
      <c r="F10" t="inlineStr">
        <is>
          <t>VÄRMLANDS LÄN</t>
        </is>
      </c>
      <c r="G10" t="inlineStr">
        <is>
          <t>MUNKFORS</t>
        </is>
      </c>
      <c r="I10" t="n">
        <v>1.9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41150-2022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44825</v>
      </c>
      <c r="E11" s="1" t="n">
        <v>46315</v>
      </c>
      <c r="F11" t="inlineStr">
        <is>
          <t>VÄRMLANDS LÄN</t>
        </is>
      </c>
      <c r="G11" t="inlineStr">
        <is>
          <t>MUNKFORS</t>
        </is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13578-2022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44648</v>
      </c>
      <c r="E12" s="1" t="n">
        <v>46315</v>
      </c>
      <c r="F12" t="inlineStr">
        <is>
          <t>VÄRMLANDS LÄN</t>
        </is>
      </c>
      <c r="G12" t="inlineStr">
        <is>
          <t>MUNKFORS</t>
        </is>
      </c>
      <c r="I12" t="n">
        <v>1.1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 ht="15" customHeight="1">
      <c r="A13" t="inlineStr">
        <is>
          <t>A 13572-2022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44648</v>
      </c>
      <c r="E13" s="1" t="n">
        <v>46315</v>
      </c>
      <c r="F13" t="inlineStr">
        <is>
          <t>VÄRMLANDS LÄN</t>
        </is>
      </c>
      <c r="G13" t="inlineStr">
        <is>
          <t>MUNKFORS</t>
        </is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18303-2022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44685</v>
      </c>
      <c r="E14" s="1" t="n">
        <v>46315</v>
      </c>
      <c r="F14" t="inlineStr">
        <is>
          <t>VÄRMLANDS LÄN</t>
        </is>
      </c>
      <c r="G14" t="inlineStr">
        <is>
          <t>MUNKFORS</t>
        </is>
      </c>
      <c r="H14" t="inlineStr">
        <is>
          <t>Bergvik skog väst AB</t>
        </is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19994-2025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45771</v>
      </c>
      <c r="E15" s="1" t="n">
        <v>46315</v>
      </c>
      <c r="F15" t="inlineStr">
        <is>
          <t>VÄRMLANDS LÄN</t>
        </is>
      </c>
      <c r="G15" t="inlineStr">
        <is>
          <t>MUNKFORS</t>
        </is>
      </c>
      <c r="I15" t="n">
        <v>0.9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50428-2023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45216</v>
      </c>
      <c r="E16" s="1" t="n">
        <v>46315</v>
      </c>
      <c r="F16" t="inlineStr">
        <is>
          <t>VÄRMLANDS LÄN</t>
        </is>
      </c>
      <c r="G16" t="inlineStr">
        <is>
          <t>MUNKFORS</t>
        </is>
      </c>
      <c r="I16" t="n">
        <v>1.4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38238-2022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44812</v>
      </c>
      <c r="E17" s="1" t="n">
        <v>46315</v>
      </c>
      <c r="F17" t="inlineStr">
        <is>
          <t>VÄRMLANDS LÄN</t>
        </is>
      </c>
      <c r="G17" t="inlineStr">
        <is>
          <t>MUNKFORS</t>
        </is>
      </c>
      <c r="I17" t="n">
        <v>1.7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22225-2024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45446</v>
      </c>
      <c r="E18" s="1" t="n">
        <v>46315</v>
      </c>
      <c r="F18" t="inlineStr">
        <is>
          <t>VÄRMLANDS LÄN</t>
        </is>
      </c>
      <c r="G18" t="inlineStr">
        <is>
          <t>MUNKFORS</t>
        </is>
      </c>
      <c r="H18" t="inlineStr">
        <is>
          <t>Bergvik skog väst AB</t>
        </is>
      </c>
      <c r="I18" t="n">
        <v>2.8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4610-2023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44951</v>
      </c>
      <c r="E19" s="1" t="n">
        <v>46315</v>
      </c>
      <c r="F19" t="inlineStr">
        <is>
          <t>VÄRMLANDS LÄN</t>
        </is>
      </c>
      <c r="G19" t="inlineStr">
        <is>
          <t>MUNKFORS</t>
        </is>
      </c>
      <c r="I19" t="n">
        <v>2.8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4795-2023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44957</v>
      </c>
      <c r="E20" s="1" t="n">
        <v>46315</v>
      </c>
      <c r="F20" t="inlineStr">
        <is>
          <t>VÄRMLANDS LÄN</t>
        </is>
      </c>
      <c r="G20" t="inlineStr">
        <is>
          <t>MUNKFORS</t>
        </is>
      </c>
      <c r="I20" t="n">
        <v>1.3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54628-2023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45234</v>
      </c>
      <c r="E21" s="1" t="n">
        <v>46315</v>
      </c>
      <c r="F21" t="inlineStr">
        <is>
          <t>VÄRMLANDS LÄN</t>
        </is>
      </c>
      <c r="G21" t="inlineStr">
        <is>
          <t>MUNKFORS</t>
        </is>
      </c>
      <c r="I21" t="n">
        <v>3.8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12588-2023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45000</v>
      </c>
      <c r="E22" s="1" t="n">
        <v>46315</v>
      </c>
      <c r="F22" t="inlineStr">
        <is>
          <t>VÄRMLANDS LÄN</t>
        </is>
      </c>
      <c r="G22" t="inlineStr">
        <is>
          <t>MUNKFORS</t>
        </is>
      </c>
      <c r="H22" t="inlineStr">
        <is>
          <t>Bergvik skog väst AB</t>
        </is>
      </c>
      <c r="I22" t="n">
        <v>2.5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59146-2023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45251</v>
      </c>
      <c r="E23" s="1" t="n">
        <v>46315</v>
      </c>
      <c r="F23" t="inlineStr">
        <is>
          <t>VÄRMLANDS LÄN</t>
        </is>
      </c>
      <c r="G23" t="inlineStr">
        <is>
          <t>MUNKFORS</t>
        </is>
      </c>
      <c r="I23" t="n">
        <v>3.4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32389-2022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44782</v>
      </c>
      <c r="E24" s="1" t="n">
        <v>46315</v>
      </c>
      <c r="F24" t="inlineStr">
        <is>
          <t>VÄRMLANDS LÄN</t>
        </is>
      </c>
      <c r="G24" t="inlineStr">
        <is>
          <t>MUNKFORS</t>
        </is>
      </c>
      <c r="I24" t="n">
        <v>3.1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7688-2023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44972</v>
      </c>
      <c r="E25" s="1" t="n">
        <v>46315</v>
      </c>
      <c r="F25" t="inlineStr">
        <is>
          <t>VÄRMLANDS LÄN</t>
        </is>
      </c>
      <c r="G25" t="inlineStr">
        <is>
          <t>MUNKFORS</t>
        </is>
      </c>
      <c r="I25" t="n">
        <v>0.6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12563-2023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45000</v>
      </c>
      <c r="E26" s="1" t="n">
        <v>46315</v>
      </c>
      <c r="F26" t="inlineStr">
        <is>
          <t>VÄRMLANDS LÄN</t>
        </is>
      </c>
      <c r="G26" t="inlineStr">
        <is>
          <t>MUNKFORS</t>
        </is>
      </c>
      <c r="H26" t="inlineStr">
        <is>
          <t>Bergvik skog väst AB</t>
        </is>
      </c>
      <c r="I26" t="n">
        <v>1.3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7683-2023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44972</v>
      </c>
      <c r="E27" s="1" t="n">
        <v>46315</v>
      </c>
      <c r="F27" t="inlineStr">
        <is>
          <t>VÄRMLANDS LÄN</t>
        </is>
      </c>
      <c r="G27" t="inlineStr">
        <is>
          <t>MUNKFORS</t>
        </is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7687-2023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44972</v>
      </c>
      <c r="E28" s="1" t="n">
        <v>46315</v>
      </c>
      <c r="F28" t="inlineStr">
        <is>
          <t>VÄRMLANDS LÄN</t>
        </is>
      </c>
      <c r="G28" t="inlineStr">
        <is>
          <t>MUNKFORS</t>
        </is>
      </c>
      <c r="I28" t="n">
        <v>0.4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9766-2025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45716</v>
      </c>
      <c r="E29" s="1" t="n">
        <v>46315</v>
      </c>
      <c r="F29" t="inlineStr">
        <is>
          <t>VÄRMLANDS LÄN</t>
        </is>
      </c>
      <c r="G29" t="inlineStr">
        <is>
          <t>MUNKFORS</t>
        </is>
      </c>
      <c r="I29" t="n">
        <v>4.1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30160-2025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45827</v>
      </c>
      <c r="E30" s="1" t="n">
        <v>46315</v>
      </c>
      <c r="F30" t="inlineStr">
        <is>
          <t>VÄRMLANDS LÄN</t>
        </is>
      </c>
      <c r="G30" t="inlineStr">
        <is>
          <t>MUNKFORS</t>
        </is>
      </c>
      <c r="H30" t="inlineStr">
        <is>
          <t>Bergvik skog väst AB</t>
        </is>
      </c>
      <c r="I30" t="n">
        <v>1.6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44098-2023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45188</v>
      </c>
      <c r="E31" s="1" t="n">
        <v>46315</v>
      </c>
      <c r="F31" t="inlineStr">
        <is>
          <t>VÄRMLANDS LÄN</t>
        </is>
      </c>
      <c r="G31" t="inlineStr">
        <is>
          <t>MUNKFORS</t>
        </is>
      </c>
      <c r="I31" t="n">
        <v>3.6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41967-2025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45903</v>
      </c>
      <c r="E32" s="1" t="n">
        <v>46315</v>
      </c>
      <c r="F32" t="inlineStr">
        <is>
          <t>VÄRMLANDS LÄN</t>
        </is>
      </c>
      <c r="G32" t="inlineStr">
        <is>
          <t>MUNKFORS</t>
        </is>
      </c>
      <c r="I32" t="n">
        <v>1.9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65754-2021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44516</v>
      </c>
      <c r="E33" s="1" t="n">
        <v>46315</v>
      </c>
      <c r="F33" t="inlineStr">
        <is>
          <t>VÄRMLANDS LÄN</t>
        </is>
      </c>
      <c r="G33" t="inlineStr">
        <is>
          <t>MUNKFORS</t>
        </is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46447-2023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45197</v>
      </c>
      <c r="E34" s="1" t="n">
        <v>46315</v>
      </c>
      <c r="F34" t="inlineStr">
        <is>
          <t>VÄRMLANDS LÄN</t>
        </is>
      </c>
      <c r="G34" t="inlineStr">
        <is>
          <t>MUNKFORS</t>
        </is>
      </c>
      <c r="H34" t="inlineStr">
        <is>
          <t>Bergvik skog väst AB</t>
        </is>
      </c>
      <c r="I34" t="n">
        <v>1.4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45153-2025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45919</v>
      </c>
      <c r="E35" s="1" t="n">
        <v>46315</v>
      </c>
      <c r="F35" t="inlineStr">
        <is>
          <t>VÄRMLANDS LÄN</t>
        </is>
      </c>
      <c r="G35" t="inlineStr">
        <is>
          <t>MUNKFORS</t>
        </is>
      </c>
      <c r="I35" t="n">
        <v>2.4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46577-2025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45926</v>
      </c>
      <c r="E36" s="1" t="n">
        <v>46315</v>
      </c>
      <c r="F36" t="inlineStr">
        <is>
          <t>VÄRMLANDS LÄN</t>
        </is>
      </c>
      <c r="G36" t="inlineStr">
        <is>
          <t>MUNKFORS</t>
        </is>
      </c>
      <c r="H36" t="inlineStr">
        <is>
          <t>Bergvik skog väst AB</t>
        </is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33908-2022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44790</v>
      </c>
      <c r="E37" s="1" t="n">
        <v>46315</v>
      </c>
      <c r="F37" t="inlineStr">
        <is>
          <t>VÄRMLANDS LÄN</t>
        </is>
      </c>
      <c r="G37" t="inlineStr">
        <is>
          <t>MUNKFORS</t>
        </is>
      </c>
      <c r="I37" t="n">
        <v>1.1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27045-2023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45095</v>
      </c>
      <c r="E38" s="1" t="n">
        <v>46315</v>
      </c>
      <c r="F38" t="inlineStr">
        <is>
          <t>VÄRMLANDS LÄN</t>
        </is>
      </c>
      <c r="G38" t="inlineStr">
        <is>
          <t>MUNKFORS</t>
        </is>
      </c>
      <c r="I38" t="n">
        <v>2.1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53284-2025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45958</v>
      </c>
      <c r="E39" s="1" t="n">
        <v>46315</v>
      </c>
      <c r="F39" t="inlineStr">
        <is>
          <t>VÄRMLANDS LÄN</t>
        </is>
      </c>
      <c r="G39" t="inlineStr">
        <is>
          <t>MUNKFORS</t>
        </is>
      </c>
      <c r="I39" t="n">
        <v>7.3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22096-2026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46153</v>
      </c>
      <c r="E40" s="1" t="n">
        <v>46315</v>
      </c>
      <c r="F40" t="inlineStr">
        <is>
          <t>VÄRMLANDS LÄN</t>
        </is>
      </c>
      <c r="G40" t="inlineStr">
        <is>
          <t>MUNKFORS</t>
        </is>
      </c>
      <c r="H40" t="inlineStr">
        <is>
          <t>Bergvik skog väst AB</t>
        </is>
      </c>
      <c r="I40" t="n">
        <v>8.5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53524-2025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45960</v>
      </c>
      <c r="E41" s="1" t="n">
        <v>46315</v>
      </c>
      <c r="F41" t="inlineStr">
        <is>
          <t>VÄRMLANDS LÄN</t>
        </is>
      </c>
      <c r="G41" t="inlineStr">
        <is>
          <t>MUNKFORS</t>
        </is>
      </c>
      <c r="I41" t="n">
        <v>1.9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7646-2023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44972</v>
      </c>
      <c r="E42" s="1" t="n">
        <v>46315</v>
      </c>
      <c r="F42" t="inlineStr">
        <is>
          <t>VÄRMLANDS LÄN</t>
        </is>
      </c>
      <c r="G42" t="inlineStr">
        <is>
          <t>MUNKFORS</t>
        </is>
      </c>
      <c r="I42" t="n">
        <v>0.4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55254-2025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45968</v>
      </c>
      <c r="E43" s="1" t="n">
        <v>46315</v>
      </c>
      <c r="F43" t="inlineStr">
        <is>
          <t>VÄRMLANDS LÄN</t>
        </is>
      </c>
      <c r="G43" t="inlineStr">
        <is>
          <t>MUNKFORS</t>
        </is>
      </c>
      <c r="I43" t="n">
        <v>2.4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56023-2025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45973</v>
      </c>
      <c r="E44" s="1" t="n">
        <v>46315</v>
      </c>
      <c r="F44" t="inlineStr">
        <is>
          <t>VÄRMLANDS LÄN</t>
        </is>
      </c>
      <c r="G44" t="inlineStr">
        <is>
          <t>MUNKFORS</t>
        </is>
      </c>
      <c r="H44" t="inlineStr">
        <is>
          <t>Bergvik skog väst AB</t>
        </is>
      </c>
      <c r="I44" t="n">
        <v>5.8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56717-2025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45975</v>
      </c>
      <c r="E45" s="1" t="n">
        <v>46315</v>
      </c>
      <c r="F45" t="inlineStr">
        <is>
          <t>VÄRMLANDS LÄN</t>
        </is>
      </c>
      <c r="G45" t="inlineStr">
        <is>
          <t>MUNKFORS</t>
        </is>
      </c>
      <c r="I45" t="n">
        <v>3.1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57387-2025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45980</v>
      </c>
      <c r="E46" s="1" t="n">
        <v>46315</v>
      </c>
      <c r="F46" t="inlineStr">
        <is>
          <t>VÄRMLANDS LÄN</t>
        </is>
      </c>
      <c r="G46" t="inlineStr">
        <is>
          <t>MUNKFORS</t>
        </is>
      </c>
      <c r="H46" t="inlineStr">
        <is>
          <t>Kyrkan</t>
        </is>
      </c>
      <c r="I46" t="n">
        <v>3.6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6859-2023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44967</v>
      </c>
      <c r="E47" s="1" t="n">
        <v>46315</v>
      </c>
      <c r="F47" t="inlineStr">
        <is>
          <t>VÄRMLANDS LÄN</t>
        </is>
      </c>
      <c r="G47" t="inlineStr">
        <is>
          <t>MUNKFORS</t>
        </is>
      </c>
      <c r="H47" t="inlineStr">
        <is>
          <t>Bergvik skog väst AB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23012-2026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46161</v>
      </c>
      <c r="E48" s="1" t="n">
        <v>46315</v>
      </c>
      <c r="F48" t="inlineStr">
        <is>
          <t>VÄRMLANDS LÄN</t>
        </is>
      </c>
      <c r="G48" t="inlineStr">
        <is>
          <t>MUNKFORS</t>
        </is>
      </c>
      <c r="H48" t="inlineStr">
        <is>
          <t>Kyrkan</t>
        </is>
      </c>
      <c r="I48" t="n">
        <v>1.1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62977-2023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45272</v>
      </c>
      <c r="E49" s="1" t="n">
        <v>46315</v>
      </c>
      <c r="F49" t="inlineStr">
        <is>
          <t>VÄRMLANDS LÄN</t>
        </is>
      </c>
      <c r="G49" t="inlineStr">
        <is>
          <t>MUNKFORS</t>
        </is>
      </c>
      <c r="I49" t="n">
        <v>3.4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23212-2026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46162</v>
      </c>
      <c r="E50" s="1" t="n">
        <v>46315</v>
      </c>
      <c r="F50" t="inlineStr">
        <is>
          <t>VÄRMLANDS LÄN</t>
        </is>
      </c>
      <c r="G50" t="inlineStr">
        <is>
          <t>MUNKFORS</t>
        </is>
      </c>
      <c r="H50" t="inlineStr">
        <is>
          <t>Kyrkan</t>
        </is>
      </c>
      <c r="I50" t="n">
        <v>2.5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27069-2024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45471</v>
      </c>
      <c r="E51" s="1" t="n">
        <v>46315</v>
      </c>
      <c r="F51" t="inlineStr">
        <is>
          <t>VÄRMLANDS LÄN</t>
        </is>
      </c>
      <c r="G51" t="inlineStr">
        <is>
          <t>MUNKFORS</t>
        </is>
      </c>
      <c r="I51" t="n">
        <v>2.9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23204-2026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46162</v>
      </c>
      <c r="E52" s="1" t="n">
        <v>46315</v>
      </c>
      <c r="F52" t="inlineStr">
        <is>
          <t>VÄRMLANDS LÄN</t>
        </is>
      </c>
      <c r="G52" t="inlineStr">
        <is>
          <t>MUNKFORS</t>
        </is>
      </c>
      <c r="H52" t="inlineStr">
        <is>
          <t>Kyrkan</t>
        </is>
      </c>
      <c r="I52" t="n">
        <v>1.2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4156-2026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46044</v>
      </c>
      <c r="E53" s="1" t="n">
        <v>46315</v>
      </c>
      <c r="F53" t="inlineStr">
        <is>
          <t>VÄRMLANDS LÄN</t>
        </is>
      </c>
      <c r="G53" t="inlineStr">
        <is>
          <t>MUNKFORS</t>
        </is>
      </c>
      <c r="I53" t="n">
        <v>4.8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56776-2024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45628</v>
      </c>
      <c r="E54" s="1" t="n">
        <v>46315</v>
      </c>
      <c r="F54" t="inlineStr">
        <is>
          <t>VÄRMLANDS LÄN</t>
        </is>
      </c>
      <c r="G54" t="inlineStr">
        <is>
          <t>MUNKFORS</t>
        </is>
      </c>
      <c r="H54" t="inlineStr">
        <is>
          <t>Bergvik skog väst AB</t>
        </is>
      </c>
      <c r="I54" t="n">
        <v>1.5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47625-2024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45588</v>
      </c>
      <c r="E55" s="1" t="n">
        <v>46315</v>
      </c>
      <c r="F55" t="inlineStr">
        <is>
          <t>VÄRMLANDS LÄN</t>
        </is>
      </c>
      <c r="G55" t="inlineStr">
        <is>
          <t>MUNKFORS</t>
        </is>
      </c>
      <c r="I55" t="n">
        <v>1.8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42637-2023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45181</v>
      </c>
      <c r="E56" s="1" t="n">
        <v>46315</v>
      </c>
      <c r="F56" t="inlineStr">
        <is>
          <t>VÄRMLANDS LÄN</t>
        </is>
      </c>
      <c r="G56" t="inlineStr">
        <is>
          <t>MUNKFORS</t>
        </is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22757-2024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45448</v>
      </c>
      <c r="E57" s="1" t="n">
        <v>46315</v>
      </c>
      <c r="F57" t="inlineStr">
        <is>
          <t>VÄRMLANDS LÄN</t>
        </is>
      </c>
      <c r="G57" t="inlineStr">
        <is>
          <t>MUNKFORS</t>
        </is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58050-2024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45631</v>
      </c>
      <c r="E58" s="1" t="n">
        <v>46315</v>
      </c>
      <c r="F58" t="inlineStr">
        <is>
          <t>VÄRMLANDS LÄN</t>
        </is>
      </c>
      <c r="G58" t="inlineStr">
        <is>
          <t>MUNKFORS</t>
        </is>
      </c>
      <c r="I58" t="n">
        <v>0.7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49500-2023</t>
        </is>
      </c>
      <c r="B59" t="inlineStr">
        <is>
          <t>avverkningsanmälan</t>
        </is>
      </c>
      <c r="C59" t="inlineStr">
        <is>
          <t>Avverkning för annat ändamål</t>
        </is>
      </c>
      <c r="D59" s="1" t="n">
        <v>45211</v>
      </c>
      <c r="E59" s="1" t="n">
        <v>46315</v>
      </c>
      <c r="F59" t="inlineStr">
        <is>
          <t>VÄRMLANDS LÄN</t>
        </is>
      </c>
      <c r="G59" t="inlineStr">
        <is>
          <t>MUNKFORS</t>
        </is>
      </c>
      <c r="I59" t="n">
        <v>0.7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19207-2026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46132</v>
      </c>
      <c r="E60" s="1" t="n">
        <v>46315</v>
      </c>
      <c r="F60" t="inlineStr">
        <is>
          <t>VÄRMLANDS LÄN</t>
        </is>
      </c>
      <c r="G60" t="inlineStr">
        <is>
          <t>MUNKFORS</t>
        </is>
      </c>
      <c r="I60" t="n">
        <v>0.5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19208-2026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46132</v>
      </c>
      <c r="E61" s="1" t="n">
        <v>46315</v>
      </c>
      <c r="F61" t="inlineStr">
        <is>
          <t>VÄRMLANDS LÄN</t>
        </is>
      </c>
      <c r="G61" t="inlineStr">
        <is>
          <t>MUNKFORS</t>
        </is>
      </c>
      <c r="I61" t="n">
        <v>1.1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19172-2026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46132</v>
      </c>
      <c r="E62" s="1" t="n">
        <v>46315</v>
      </c>
      <c r="F62" t="inlineStr">
        <is>
          <t>VÄRMLANDS LÄN</t>
        </is>
      </c>
      <c r="G62" t="inlineStr">
        <is>
          <t>MUNKFORS</t>
        </is>
      </c>
      <c r="I62" t="n">
        <v>5.8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29672-2026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46204</v>
      </c>
      <c r="E63" s="1" t="n">
        <v>46315</v>
      </c>
      <c r="F63" t="inlineStr">
        <is>
          <t>VÄRMLANDS LÄN</t>
        </is>
      </c>
      <c r="G63" t="inlineStr">
        <is>
          <t>MUNKFORS</t>
        </is>
      </c>
      <c r="H63" t="inlineStr">
        <is>
          <t>Bergvik skog väst AB</t>
        </is>
      </c>
      <c r="I63" t="n">
        <v>4.3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29992-2026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46205</v>
      </c>
      <c r="E64" s="1" t="n">
        <v>46315</v>
      </c>
      <c r="F64" t="inlineStr">
        <is>
          <t>VÄRMLANDS LÄN</t>
        </is>
      </c>
      <c r="G64" t="inlineStr">
        <is>
          <t>MUNKFORS</t>
        </is>
      </c>
      <c r="I64" t="n">
        <v>4.3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29985-2026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46205</v>
      </c>
      <c r="E65" s="1" t="n">
        <v>46315</v>
      </c>
      <c r="F65" t="inlineStr">
        <is>
          <t>VÄRMLANDS LÄN</t>
        </is>
      </c>
      <c r="G65" t="inlineStr">
        <is>
          <t>MUNKFORS</t>
        </is>
      </c>
      <c r="I65" t="n">
        <v>1.8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29609-2026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46204</v>
      </c>
      <c r="E66" s="1" t="n">
        <v>46315</v>
      </c>
      <c r="F66" t="inlineStr">
        <is>
          <t>VÄRMLANDS LÄN</t>
        </is>
      </c>
      <c r="G66" t="inlineStr">
        <is>
          <t>MUNKFORS</t>
        </is>
      </c>
      <c r="H66" t="inlineStr">
        <is>
          <t>Bergvik skog väst AB</t>
        </is>
      </c>
      <c r="I66" t="n">
        <v>9.4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29908-2026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46205</v>
      </c>
      <c r="E67" s="1" t="n">
        <v>46315</v>
      </c>
      <c r="F67" t="inlineStr">
        <is>
          <t>VÄRMLANDS LÄN</t>
        </is>
      </c>
      <c r="G67" t="inlineStr">
        <is>
          <t>MUNKFORS</t>
        </is>
      </c>
      <c r="H67" t="inlineStr">
        <is>
          <t>Bergvik skog väst AB</t>
        </is>
      </c>
      <c r="I67" t="n">
        <v>2.4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29951-2026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46205</v>
      </c>
      <c r="E68" s="1" t="n">
        <v>46315</v>
      </c>
      <c r="F68" t="inlineStr">
        <is>
          <t>VÄRMLANDS LÄN</t>
        </is>
      </c>
      <c r="G68" t="inlineStr">
        <is>
          <t>MUNKFORS</t>
        </is>
      </c>
      <c r="H68" t="inlineStr">
        <is>
          <t>Bergvik skog väst AB</t>
        </is>
      </c>
      <c r="I68" t="n">
        <v>2.3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24567-2022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44727</v>
      </c>
      <c r="E69" s="1" t="n">
        <v>46315</v>
      </c>
      <c r="F69" t="inlineStr">
        <is>
          <t>VÄRMLANDS LÄN</t>
        </is>
      </c>
      <c r="G69" t="inlineStr">
        <is>
          <t>MUNKFORS</t>
        </is>
      </c>
      <c r="I69" t="n">
        <v>2.2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64772-2023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45282</v>
      </c>
      <c r="E70" s="1" t="n">
        <v>46315</v>
      </c>
      <c r="F70" t="inlineStr">
        <is>
          <t>VÄRMLANDS LÄN</t>
        </is>
      </c>
      <c r="G70" t="inlineStr">
        <is>
          <t>MUNKFORS</t>
        </is>
      </c>
      <c r="I70" t="n">
        <v>1.4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18167-2024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45420</v>
      </c>
      <c r="E71" s="1" t="n">
        <v>46315</v>
      </c>
      <c r="F71" t="inlineStr">
        <is>
          <t>VÄRMLANDS LÄN</t>
        </is>
      </c>
      <c r="G71" t="inlineStr">
        <is>
          <t>MUNKFORS</t>
        </is>
      </c>
      <c r="I71" t="n">
        <v>0.6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12114-2022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44636</v>
      </c>
      <c r="E72" s="1" t="n">
        <v>46315</v>
      </c>
      <c r="F72" t="inlineStr">
        <is>
          <t>VÄRMLANDS LÄN</t>
        </is>
      </c>
      <c r="G72" t="inlineStr">
        <is>
          <t>MUNKFORS</t>
        </is>
      </c>
      <c r="I72" t="n">
        <v>3.1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38961-2026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46286</v>
      </c>
      <c r="E73" s="1" t="n">
        <v>46315</v>
      </c>
      <c r="F73" t="inlineStr">
        <is>
          <t>VÄRMLANDS LÄN</t>
        </is>
      </c>
      <c r="G73" t="inlineStr">
        <is>
          <t>MUNKFORS</t>
        </is>
      </c>
      <c r="I73" t="n">
        <v>4.2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32900-2026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46244</v>
      </c>
      <c r="E74" s="1" t="n">
        <v>46315</v>
      </c>
      <c r="F74" t="inlineStr">
        <is>
          <t>VÄRMLANDS LÄN</t>
        </is>
      </c>
      <c r="G74" t="inlineStr">
        <is>
          <t>MUNKFORS</t>
        </is>
      </c>
      <c r="I74" t="n">
        <v>0.6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6579-2025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45699</v>
      </c>
      <c r="E75" s="1" t="n">
        <v>46315</v>
      </c>
      <c r="F75" t="inlineStr">
        <is>
          <t>VÄRMLANDS LÄN</t>
        </is>
      </c>
      <c r="G75" t="inlineStr">
        <is>
          <t>MUNKFORS</t>
        </is>
      </c>
      <c r="H75" t="inlineStr">
        <is>
          <t>Kommuner</t>
        </is>
      </c>
      <c r="I75" t="n">
        <v>1.4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39069-2026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46287</v>
      </c>
      <c r="E76" s="1" t="n">
        <v>46315</v>
      </c>
      <c r="F76" t="inlineStr">
        <is>
          <t>VÄRMLANDS LÄN</t>
        </is>
      </c>
      <c r="G76" t="inlineStr">
        <is>
          <t>MUNKFORS</t>
        </is>
      </c>
      <c r="H76" t="inlineStr">
        <is>
          <t>Bergvik skog väst AB</t>
        </is>
      </c>
      <c r="I76" t="n">
        <v>1.5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13431-2024</t>
        </is>
      </c>
      <c r="B77" t="inlineStr">
        <is>
          <t>avverkningsanmälan</t>
        </is>
      </c>
      <c r="C77" t="inlineStr">
        <is>
          <t>Avverkning för att bevara och utveckla /försöksver</t>
        </is>
      </c>
      <c r="D77" s="1" t="n">
        <v>45387</v>
      </c>
      <c r="E77" s="1" t="n">
        <v>46315</v>
      </c>
      <c r="F77" t="inlineStr">
        <is>
          <t>VÄRMLANDS LÄN</t>
        </is>
      </c>
      <c r="G77" t="inlineStr">
        <is>
          <t>MUNKFORS</t>
        </is>
      </c>
      <c r="H77" t="inlineStr">
        <is>
          <t>Bergvik skog väst AB</t>
        </is>
      </c>
      <c r="I77" t="n">
        <v>0.7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59128-2023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45251</v>
      </c>
      <c r="E78" s="1" t="n">
        <v>46315</v>
      </c>
      <c r="F78" t="inlineStr">
        <is>
          <t>VÄRMLANDS LÄN</t>
        </is>
      </c>
      <c r="G78" t="inlineStr">
        <is>
          <t>MUNKFORS</t>
        </is>
      </c>
      <c r="I78" t="n">
        <v>1.3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59137-2023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45251</v>
      </c>
      <c r="E79" s="1" t="n">
        <v>46315</v>
      </c>
      <c r="F79" t="inlineStr">
        <is>
          <t>VÄRMLANDS LÄN</t>
        </is>
      </c>
      <c r="G79" t="inlineStr">
        <is>
          <t>MUNKFORS</t>
        </is>
      </c>
      <c r="I79" t="n">
        <v>1.3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15125-2025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45744</v>
      </c>
      <c r="E80" s="1" t="n">
        <v>46315</v>
      </c>
      <c r="F80" t="inlineStr">
        <is>
          <t>VÄRMLANDS LÄN</t>
        </is>
      </c>
      <c r="G80" t="inlineStr">
        <is>
          <t>MUNKFORS</t>
        </is>
      </c>
      <c r="I80" t="n">
        <v>1.2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44104-2023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45188</v>
      </c>
      <c r="E81" s="1" t="n">
        <v>46315</v>
      </c>
      <c r="F81" t="inlineStr">
        <is>
          <t>VÄRMLANDS LÄN</t>
        </is>
      </c>
      <c r="G81" t="inlineStr">
        <is>
          <t>MUNKFORS</t>
        </is>
      </c>
      <c r="I81" t="n">
        <v>2.1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59132-2023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45251</v>
      </c>
      <c r="E82" s="1" t="n">
        <v>46315</v>
      </c>
      <c r="F82" t="inlineStr">
        <is>
          <t>VÄRMLANDS LÄN</t>
        </is>
      </c>
      <c r="G82" t="inlineStr">
        <is>
          <t>MUNKFORS</t>
        </is>
      </c>
      <c r="I82" t="n">
        <v>1.8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3333-2025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45679</v>
      </c>
      <c r="E83" s="1" t="n">
        <v>46315</v>
      </c>
      <c r="F83" t="inlineStr">
        <is>
          <t>VÄRMLANDS LÄN</t>
        </is>
      </c>
      <c r="G83" t="inlineStr">
        <is>
          <t>MUNKFORS</t>
        </is>
      </c>
      <c r="I83" t="n">
        <v>2.9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19220-2026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46132</v>
      </c>
      <c r="E84" s="1" t="n">
        <v>46315</v>
      </c>
      <c r="F84" t="inlineStr">
        <is>
          <t>VÄRMLANDS LÄN</t>
        </is>
      </c>
      <c r="G84" t="inlineStr">
        <is>
          <t>MUNKFORS</t>
        </is>
      </c>
      <c r="I84" t="n">
        <v>3.1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21614-2025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45783</v>
      </c>
      <c r="E85" s="1" t="n">
        <v>46315</v>
      </c>
      <c r="F85" t="inlineStr">
        <is>
          <t>VÄRMLANDS LÄN</t>
        </is>
      </c>
      <c r="G85" t="inlineStr">
        <is>
          <t>MUNKFORS</t>
        </is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34981-2026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46259</v>
      </c>
      <c r="E86" s="1" t="n">
        <v>46315</v>
      </c>
      <c r="F86" t="inlineStr">
        <is>
          <t>VÄRMLANDS LÄN</t>
        </is>
      </c>
      <c r="G86" t="inlineStr">
        <is>
          <t>MUNKFORS</t>
        </is>
      </c>
      <c r="H86" t="inlineStr">
        <is>
          <t>Bergvik skog väst AB</t>
        </is>
      </c>
      <c r="I86" t="n">
        <v>1.5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41579-2026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46301</v>
      </c>
      <c r="E87" s="1" t="n">
        <v>46315</v>
      </c>
      <c r="F87" t="inlineStr">
        <is>
          <t>VÄRMLANDS LÄN</t>
        </is>
      </c>
      <c r="G87" t="inlineStr">
        <is>
          <t>MUNKFORS</t>
        </is>
      </c>
      <c r="I87" t="n">
        <v>0.9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60794-2024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45644</v>
      </c>
      <c r="E88" s="1" t="n">
        <v>46315</v>
      </c>
      <c r="F88" t="inlineStr">
        <is>
          <t>VÄRMLANDS LÄN</t>
        </is>
      </c>
      <c r="G88" t="inlineStr">
        <is>
          <t>MUNKFORS</t>
        </is>
      </c>
      <c r="I88" t="n">
        <v>1.3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27162-2025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45812</v>
      </c>
      <c r="E89" s="1" t="n">
        <v>46315</v>
      </c>
      <c r="F89" t="inlineStr">
        <is>
          <t>VÄRMLANDS LÄN</t>
        </is>
      </c>
      <c r="G89" t="inlineStr">
        <is>
          <t>MUNKFORS</t>
        </is>
      </c>
      <c r="H89" t="inlineStr">
        <is>
          <t>Kommuner</t>
        </is>
      </c>
      <c r="I89" t="n">
        <v>1.4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30207-2025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45827</v>
      </c>
      <c r="E90" s="1" t="n">
        <v>46315</v>
      </c>
      <c r="F90" t="inlineStr">
        <is>
          <t>VÄRMLANDS LÄN</t>
        </is>
      </c>
      <c r="G90" t="inlineStr">
        <is>
          <t>MUNKFORS</t>
        </is>
      </c>
      <c r="H90" t="inlineStr">
        <is>
          <t>Bergvik skog väst AB</t>
        </is>
      </c>
      <c r="I90" t="n">
        <v>2.4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36841-2026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46272</v>
      </c>
      <c r="E91" s="1" t="n">
        <v>46315</v>
      </c>
      <c r="F91" t="inlineStr">
        <is>
          <t>VÄRMLANDS LÄN</t>
        </is>
      </c>
      <c r="G91" t="inlineStr">
        <is>
          <t>MUNKFORS</t>
        </is>
      </c>
      <c r="I91" t="n">
        <v>3.9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S 932-2022</t>
        </is>
      </c>
      <c r="B92" t="inlineStr">
        <is>
          <t>samrådsanmälan</t>
        </is>
      </c>
      <c r="C92" t="inlineStr">
        <is>
          <t>Skogsgödsling</t>
        </is>
      </c>
      <c r="D92" s="1" t="n">
        <v>44606</v>
      </c>
      <c r="E92" s="1" t="n">
        <v>46315</v>
      </c>
      <c r="F92" t="inlineStr">
        <is>
          <t>VÄRMLANDS LÄN</t>
        </is>
      </c>
      <c r="G92" t="inlineStr">
        <is>
          <t>MUNKFORS</t>
        </is>
      </c>
      <c r="H92" t="inlineStr">
        <is>
          <t>Bergvik skog väst AB</t>
        </is>
      </c>
      <c r="I92" t="n">
        <v>52.1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S 923-2022</t>
        </is>
      </c>
      <c r="B93" t="inlineStr">
        <is>
          <t>samrådsanmälan</t>
        </is>
      </c>
      <c r="C93" t="inlineStr">
        <is>
          <t>Skogsgödsling</t>
        </is>
      </c>
      <c r="D93" s="1" t="n">
        <v>44606</v>
      </c>
      <c r="E93" s="1" t="n">
        <v>46315</v>
      </c>
      <c r="F93" t="inlineStr">
        <is>
          <t>VÄRMLANDS LÄN</t>
        </is>
      </c>
      <c r="G93" t="inlineStr">
        <is>
          <t>MUNKFORS</t>
        </is>
      </c>
      <c r="H93" t="inlineStr">
        <is>
          <t>Bergvik skog väst AB</t>
        </is>
      </c>
      <c r="I93" t="n">
        <v>17.4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S 4412-2023</t>
        </is>
      </c>
      <c r="B94" t="inlineStr">
        <is>
          <t>samrådsanmälan</t>
        </is>
      </c>
      <c r="C94" t="inlineStr">
        <is>
          <t>Skogsgödsling</t>
        </is>
      </c>
      <c r="D94" s="1" t="n">
        <v>45266</v>
      </c>
      <c r="E94" s="1" t="n">
        <v>46315</v>
      </c>
      <c r="F94" t="inlineStr">
        <is>
          <t>VÄRMLANDS LÄN</t>
        </is>
      </c>
      <c r="G94" t="inlineStr">
        <is>
          <t>MUNKFORS</t>
        </is>
      </c>
      <c r="H94" t="inlineStr">
        <is>
          <t>Bergvik skog väst AB</t>
        </is>
      </c>
      <c r="I94" t="n">
        <v>12.5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S 4417-2023</t>
        </is>
      </c>
      <c r="B95" t="inlineStr">
        <is>
          <t>samrådsanmälan</t>
        </is>
      </c>
      <c r="C95" t="inlineStr">
        <is>
          <t>Skogsgödsling</t>
        </is>
      </c>
      <c r="D95" s="1" t="n">
        <v>45266</v>
      </c>
      <c r="E95" s="1" t="n">
        <v>46315</v>
      </c>
      <c r="F95" t="inlineStr">
        <is>
          <t>VÄRMLANDS LÄN</t>
        </is>
      </c>
      <c r="G95" t="inlineStr">
        <is>
          <t>MUNKFORS</t>
        </is>
      </c>
      <c r="H95" t="inlineStr">
        <is>
          <t>Bergvik skog väst AB</t>
        </is>
      </c>
      <c r="I95" t="n">
        <v>9.5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S 6971-2022</t>
        </is>
      </c>
      <c r="B96" t="inlineStr">
        <is>
          <t>samrådsanmälan</t>
        </is>
      </c>
      <c r="C96" t="inlineStr">
        <is>
          <t>Skogsgödsling</t>
        </is>
      </c>
      <c r="D96" s="1" t="n">
        <v>44901</v>
      </c>
      <c r="E96" s="1" t="n">
        <v>46315</v>
      </c>
      <c r="F96" t="inlineStr">
        <is>
          <t>VÄRMLANDS LÄN</t>
        </is>
      </c>
      <c r="G96" t="inlineStr">
        <is>
          <t>MUNKFORS</t>
        </is>
      </c>
      <c r="H96" t="inlineStr">
        <is>
          <t>Bergvik skog väst AB</t>
        </is>
      </c>
      <c r="I96" t="n">
        <v>17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S 4413-2023</t>
        </is>
      </c>
      <c r="B97" t="inlineStr">
        <is>
          <t>samrådsanmälan</t>
        </is>
      </c>
      <c r="C97" t="inlineStr">
        <is>
          <t>Skogsgödsling</t>
        </is>
      </c>
      <c r="D97" s="1" t="n">
        <v>45266</v>
      </c>
      <c r="E97" s="1" t="n">
        <v>46315</v>
      </c>
      <c r="F97" t="inlineStr">
        <is>
          <t>VÄRMLANDS LÄN</t>
        </is>
      </c>
      <c r="G97" t="inlineStr">
        <is>
          <t>MUNKFORS</t>
        </is>
      </c>
      <c r="H97" t="inlineStr">
        <is>
          <t>Bergvik skog väst AB</t>
        </is>
      </c>
      <c r="I97" t="n">
        <v>54.4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>
      <c r="A98" t="inlineStr">
        <is>
          <t>S 4416-2023</t>
        </is>
      </c>
      <c r="B98" t="inlineStr">
        <is>
          <t>samrådsanmälan</t>
        </is>
      </c>
      <c r="C98" t="inlineStr">
        <is>
          <t>Skogsgödsling</t>
        </is>
      </c>
      <c r="D98" s="1" t="n">
        <v>45266</v>
      </c>
      <c r="E98" s="1" t="n">
        <v>46315</v>
      </c>
      <c r="F98" t="inlineStr">
        <is>
          <t>VÄRMLANDS LÄN</t>
        </is>
      </c>
      <c r="G98" t="inlineStr">
        <is>
          <t>MUNKFORS</t>
        </is>
      </c>
      <c r="H98" t="inlineStr">
        <is>
          <t>Bergvik skog väst AB</t>
        </is>
      </c>
      <c r="I98" t="n">
        <v>40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2026-10-20T01:49:23Z</dcterms:created>
  <dcterms:modified xmlns:dcterms="http://purl.org/dc/terms/" xmlns:xsi="http://www.w3.org/2001/XMLSchema-instance" xsi:type="dcterms:W3CDTF">2026-10-20T01:49:23Z</dcterms:modified>
</cp:coreProperties>
</file>