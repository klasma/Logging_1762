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Y153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outlineLevel="1" width="13" customWidth="1" min="22" max="25"/>
  </cols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</row>
    <row r="2" ht="15" customHeight="1">
      <c r="A2" t="inlineStr">
        <is>
          <t>A 44111-2023</t>
        </is>
      </c>
      <c r="B2" s="1" t="n">
        <v>45188</v>
      </c>
      <c r="C2" s="1" t="n">
        <v>45277</v>
      </c>
      <c r="D2" t="inlineStr">
        <is>
          <t>VÄRMLANDS LÄN</t>
        </is>
      </c>
      <c r="E2" t="inlineStr">
        <is>
          <t>MUNKFORS</t>
        </is>
      </c>
      <c r="G2" t="n">
        <v>7</v>
      </c>
      <c r="H2" t="n">
        <v>0</v>
      </c>
      <c r="I2" t="n">
        <v>0</v>
      </c>
      <c r="J2" t="n">
        <v>1</v>
      </c>
      <c r="K2" t="n">
        <v>0</v>
      </c>
      <c r="L2" t="n">
        <v>0</v>
      </c>
      <c r="M2" t="n">
        <v>0</v>
      </c>
      <c r="N2" t="n">
        <v>0</v>
      </c>
      <c r="O2" t="n">
        <v>1</v>
      </c>
      <c r="P2" t="n">
        <v>0</v>
      </c>
      <c r="Q2" t="n">
        <v>1</v>
      </c>
      <c r="R2" s="2" t="inlineStr">
        <is>
          <t>Bågsäv</t>
        </is>
      </c>
      <c r="S2">
        <f>HYPERLINK("https://klasma.github.io/Logging_1762/artfynd/A 44111-2023 artfynd.xlsx", "A 44111-2023")</f>
        <v/>
      </c>
      <c r="T2">
        <f>HYPERLINK("https://klasma.github.io/Logging_1762/kartor/A 44111-2023 karta.png", "A 44111-2023")</f>
        <v/>
      </c>
      <c r="V2">
        <f>HYPERLINK("https://klasma.github.io/Logging_1762/klagomål/A 44111-2023 FSC-klagomål.docx", "A 44111-2023")</f>
        <v/>
      </c>
      <c r="W2">
        <f>HYPERLINK("https://klasma.github.io/Logging_1762/klagomålsmail/A 44111-2023 FSC-klagomål mail.docx", "A 44111-2023")</f>
        <v/>
      </c>
      <c r="X2">
        <f>HYPERLINK("https://klasma.github.io/Logging_1762/tillsyn/A 44111-2023 tillsynsbegäran.docx", "A 44111-2023")</f>
        <v/>
      </c>
      <c r="Y2">
        <f>HYPERLINK("https://klasma.github.io/Logging_1762/tillsynsmail/A 44111-2023 tillsynsbegäran mail.docx", "A 44111-2023")</f>
        <v/>
      </c>
    </row>
    <row r="3" ht="15" customHeight="1">
      <c r="A3" t="inlineStr">
        <is>
          <t>A 62868-2018</t>
        </is>
      </c>
      <c r="B3" s="1" t="n">
        <v>43426</v>
      </c>
      <c r="C3" s="1" t="n">
        <v>45277</v>
      </c>
      <c r="D3" t="inlineStr">
        <is>
          <t>VÄRMLANDS LÄN</t>
        </is>
      </c>
      <c r="E3" t="inlineStr">
        <is>
          <t>MUNKFORS</t>
        </is>
      </c>
      <c r="F3" t="inlineStr">
        <is>
          <t>Bergvik skog väst AB</t>
        </is>
      </c>
      <c r="G3" t="n">
        <v>57.8</v>
      </c>
      <c r="H3" t="n">
        <v>0</v>
      </c>
      <c r="I3" t="n">
        <v>0</v>
      </c>
      <c r="J3" t="n">
        <v>0</v>
      </c>
      <c r="K3" t="n">
        <v>0</v>
      </c>
      <c r="L3" t="n">
        <v>0</v>
      </c>
      <c r="M3" t="n">
        <v>0</v>
      </c>
      <c r="N3" t="n">
        <v>0</v>
      </c>
      <c r="O3" t="n">
        <v>0</v>
      </c>
      <c r="P3" t="n">
        <v>0</v>
      </c>
      <c r="Q3" t="n">
        <v>0</v>
      </c>
      <c r="R3" s="2" t="inlineStr"/>
    </row>
    <row r="4" ht="15" customHeight="1">
      <c r="A4" t="inlineStr">
        <is>
          <t>A 69527-2018</t>
        </is>
      </c>
      <c r="B4" s="1" t="n">
        <v>43446</v>
      </c>
      <c r="C4" s="1" t="n">
        <v>45277</v>
      </c>
      <c r="D4" t="inlineStr">
        <is>
          <t>VÄRMLANDS LÄN</t>
        </is>
      </c>
      <c r="E4" t="inlineStr">
        <is>
          <t>MUNKFORS</t>
        </is>
      </c>
      <c r="G4" t="n">
        <v>1.6</v>
      </c>
      <c r="H4" t="n">
        <v>0</v>
      </c>
      <c r="I4" t="n">
        <v>0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0</v>
      </c>
      <c r="R4" s="2" t="inlineStr"/>
    </row>
    <row r="5" ht="15" customHeight="1">
      <c r="A5" t="inlineStr">
        <is>
          <t>A 2523-2019</t>
        </is>
      </c>
      <c r="B5" s="1" t="n">
        <v>43468</v>
      </c>
      <c r="C5" s="1" t="n">
        <v>45277</v>
      </c>
      <c r="D5" t="inlineStr">
        <is>
          <t>VÄRMLANDS LÄN</t>
        </is>
      </c>
      <c r="E5" t="inlineStr">
        <is>
          <t>MUNKFORS</t>
        </is>
      </c>
      <c r="G5" t="n">
        <v>5</v>
      </c>
      <c r="H5" t="n">
        <v>0</v>
      </c>
      <c r="I5" t="n">
        <v>0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0</v>
      </c>
      <c r="R5" s="2" t="inlineStr"/>
    </row>
    <row r="6" ht="15" customHeight="1">
      <c r="A6" t="inlineStr">
        <is>
          <t>A 1082-2019</t>
        </is>
      </c>
      <c r="B6" s="1" t="n">
        <v>43472</v>
      </c>
      <c r="C6" s="1" t="n">
        <v>45277</v>
      </c>
      <c r="D6" t="inlineStr">
        <is>
          <t>VÄRMLANDS LÄN</t>
        </is>
      </c>
      <c r="E6" t="inlineStr">
        <is>
          <t>MUNKFORS</t>
        </is>
      </c>
      <c r="G6" t="n">
        <v>1.3</v>
      </c>
      <c r="H6" t="n">
        <v>0</v>
      </c>
      <c r="I6" t="n">
        <v>0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0</v>
      </c>
      <c r="R6" s="2" t="inlineStr"/>
    </row>
    <row r="7" ht="15" customHeight="1">
      <c r="A7" t="inlineStr">
        <is>
          <t>A 896-2019</t>
        </is>
      </c>
      <c r="B7" s="1" t="n">
        <v>43472</v>
      </c>
      <c r="C7" s="1" t="n">
        <v>45277</v>
      </c>
      <c r="D7" t="inlineStr">
        <is>
          <t>VÄRMLANDS LÄN</t>
        </is>
      </c>
      <c r="E7" t="inlineStr">
        <is>
          <t>MUNKFORS</t>
        </is>
      </c>
      <c r="G7" t="n">
        <v>0.8</v>
      </c>
      <c r="H7" t="n">
        <v>0</v>
      </c>
      <c r="I7" t="n">
        <v>0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0</v>
      </c>
      <c r="R7" s="2" t="inlineStr"/>
    </row>
    <row r="8" ht="15" customHeight="1">
      <c r="A8" t="inlineStr">
        <is>
          <t>A 20753-2019</t>
        </is>
      </c>
      <c r="B8" s="1" t="n">
        <v>43573</v>
      </c>
      <c r="C8" s="1" t="n">
        <v>45277</v>
      </c>
      <c r="D8" t="inlineStr">
        <is>
          <t>VÄRMLANDS LÄN</t>
        </is>
      </c>
      <c r="E8" t="inlineStr">
        <is>
          <t>MUNKFORS</t>
        </is>
      </c>
      <c r="F8" t="inlineStr">
        <is>
          <t>Bergvik skog väst AB</t>
        </is>
      </c>
      <c r="G8" t="n">
        <v>2</v>
      </c>
      <c r="H8" t="n">
        <v>0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0</v>
      </c>
      <c r="R8" s="2" t="inlineStr"/>
    </row>
    <row r="9" ht="15" customHeight="1">
      <c r="A9" t="inlineStr">
        <is>
          <t>A 27110-2019</t>
        </is>
      </c>
      <c r="B9" s="1" t="n">
        <v>43614</v>
      </c>
      <c r="C9" s="1" t="n">
        <v>45277</v>
      </c>
      <c r="D9" t="inlineStr">
        <is>
          <t>VÄRMLANDS LÄN</t>
        </is>
      </c>
      <c r="E9" t="inlineStr">
        <is>
          <t>MUNKFORS</t>
        </is>
      </c>
      <c r="F9" t="inlineStr">
        <is>
          <t>Bergvik skog väst AB</t>
        </is>
      </c>
      <c r="G9" t="n">
        <v>3.8</v>
      </c>
      <c r="H9" t="n">
        <v>0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s="2" t="inlineStr"/>
    </row>
    <row r="10" ht="15" customHeight="1">
      <c r="A10" t="inlineStr">
        <is>
          <t>A 30977-2019</t>
        </is>
      </c>
      <c r="B10" s="1" t="n">
        <v>43640</v>
      </c>
      <c r="C10" s="1" t="n">
        <v>45277</v>
      </c>
      <c r="D10" t="inlineStr">
        <is>
          <t>VÄRMLANDS LÄN</t>
        </is>
      </c>
      <c r="E10" t="inlineStr">
        <is>
          <t>MUNKFORS</t>
        </is>
      </c>
      <c r="F10" t="inlineStr">
        <is>
          <t>Bergvik skog väst AB</t>
        </is>
      </c>
      <c r="G10" t="n">
        <v>4.4</v>
      </c>
      <c r="H10" t="n">
        <v>0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s="2" t="inlineStr"/>
    </row>
    <row r="11" ht="15" customHeight="1">
      <c r="A11" t="inlineStr">
        <is>
          <t>A 32393-2019</t>
        </is>
      </c>
      <c r="B11" s="1" t="n">
        <v>43640</v>
      </c>
      <c r="C11" s="1" t="n">
        <v>45277</v>
      </c>
      <c r="D11" t="inlineStr">
        <is>
          <t>VÄRMLANDS LÄN</t>
        </is>
      </c>
      <c r="E11" t="inlineStr">
        <is>
          <t>MUNKFORS</t>
        </is>
      </c>
      <c r="F11" t="inlineStr">
        <is>
          <t>Bergvik skog väst AB</t>
        </is>
      </c>
      <c r="G11" t="n">
        <v>0.2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s="2" t="inlineStr"/>
    </row>
    <row r="12" ht="15" customHeight="1">
      <c r="A12" t="inlineStr">
        <is>
          <t>A 34344-2019</t>
        </is>
      </c>
      <c r="B12" s="1" t="n">
        <v>43656</v>
      </c>
      <c r="C12" s="1" t="n">
        <v>45277</v>
      </c>
      <c r="D12" t="inlineStr">
        <is>
          <t>VÄRMLANDS LÄN</t>
        </is>
      </c>
      <c r="E12" t="inlineStr">
        <is>
          <t>MUNKFORS</t>
        </is>
      </c>
      <c r="F12" t="inlineStr">
        <is>
          <t>Bergvik skog väst AB</t>
        </is>
      </c>
      <c r="G12" t="n">
        <v>0.4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  <row r="13" ht="15" customHeight="1">
      <c r="A13" t="inlineStr">
        <is>
          <t>A 35248-2019</t>
        </is>
      </c>
      <c r="B13" s="1" t="n">
        <v>43662</v>
      </c>
      <c r="C13" s="1" t="n">
        <v>45277</v>
      </c>
      <c r="D13" t="inlineStr">
        <is>
          <t>VÄRMLANDS LÄN</t>
        </is>
      </c>
      <c r="E13" t="inlineStr">
        <is>
          <t>MUNKFORS</t>
        </is>
      </c>
      <c r="F13" t="inlineStr">
        <is>
          <t>Kyrkan</t>
        </is>
      </c>
      <c r="G13" t="n">
        <v>7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37832-2019</t>
        </is>
      </c>
      <c r="B14" s="1" t="n">
        <v>43682</v>
      </c>
      <c r="C14" s="1" t="n">
        <v>45277</v>
      </c>
      <c r="D14" t="inlineStr">
        <is>
          <t>VÄRMLANDS LÄN</t>
        </is>
      </c>
      <c r="E14" t="inlineStr">
        <is>
          <t>MUNKFORS</t>
        </is>
      </c>
      <c r="F14" t="inlineStr">
        <is>
          <t>Bergvik skog väst AB</t>
        </is>
      </c>
      <c r="G14" t="n">
        <v>6.4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48226-2019</t>
        </is>
      </c>
      <c r="B15" s="1" t="n">
        <v>43726</v>
      </c>
      <c r="C15" s="1" t="n">
        <v>45277</v>
      </c>
      <c r="D15" t="inlineStr">
        <is>
          <t>VÄRMLANDS LÄN</t>
        </is>
      </c>
      <c r="E15" t="inlineStr">
        <is>
          <t>MUNKFORS</t>
        </is>
      </c>
      <c r="G15" t="n">
        <v>4.7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52490-2019</t>
        </is>
      </c>
      <c r="B16" s="1" t="n">
        <v>43745</v>
      </c>
      <c r="C16" s="1" t="n">
        <v>45277</v>
      </c>
      <c r="D16" t="inlineStr">
        <is>
          <t>VÄRMLANDS LÄN</t>
        </is>
      </c>
      <c r="E16" t="inlineStr">
        <is>
          <t>MUNKFORS</t>
        </is>
      </c>
      <c r="G16" t="n">
        <v>1.8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60453-2019</t>
        </is>
      </c>
      <c r="B17" s="1" t="n">
        <v>43780</v>
      </c>
      <c r="C17" s="1" t="n">
        <v>45277</v>
      </c>
      <c r="D17" t="inlineStr">
        <is>
          <t>VÄRMLANDS LÄN</t>
        </is>
      </c>
      <c r="E17" t="inlineStr">
        <is>
          <t>MUNKFORS</t>
        </is>
      </c>
      <c r="F17" t="inlineStr">
        <is>
          <t>Kommuner</t>
        </is>
      </c>
      <c r="G17" t="n">
        <v>2.4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60443-2019</t>
        </is>
      </c>
      <c r="B18" s="1" t="n">
        <v>43780</v>
      </c>
      <c r="C18" s="1" t="n">
        <v>45277</v>
      </c>
      <c r="D18" t="inlineStr">
        <is>
          <t>VÄRMLANDS LÄN</t>
        </is>
      </c>
      <c r="E18" t="inlineStr">
        <is>
          <t>MUNKFORS</t>
        </is>
      </c>
      <c r="F18" t="inlineStr">
        <is>
          <t>Kommuner</t>
        </is>
      </c>
      <c r="G18" t="n">
        <v>3.4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61341-2019</t>
        </is>
      </c>
      <c r="B19" s="1" t="n">
        <v>43783</v>
      </c>
      <c r="C19" s="1" t="n">
        <v>45277</v>
      </c>
      <c r="D19" t="inlineStr">
        <is>
          <t>VÄRMLANDS LÄN</t>
        </is>
      </c>
      <c r="E19" t="inlineStr">
        <is>
          <t>MUNKFORS</t>
        </is>
      </c>
      <c r="G19" t="n">
        <v>1.1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61907-2019</t>
        </is>
      </c>
      <c r="B20" s="1" t="n">
        <v>43787</v>
      </c>
      <c r="C20" s="1" t="n">
        <v>45277</v>
      </c>
      <c r="D20" t="inlineStr">
        <is>
          <t>VÄRMLANDS LÄN</t>
        </is>
      </c>
      <c r="E20" t="inlineStr">
        <is>
          <t>MUNKFORS</t>
        </is>
      </c>
      <c r="G20" t="n">
        <v>0.9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63560-2019</t>
        </is>
      </c>
      <c r="B21" s="1" t="n">
        <v>43795</v>
      </c>
      <c r="C21" s="1" t="n">
        <v>45277</v>
      </c>
      <c r="D21" t="inlineStr">
        <is>
          <t>VÄRMLANDS LÄN</t>
        </is>
      </c>
      <c r="E21" t="inlineStr">
        <is>
          <t>MUNKFORS</t>
        </is>
      </c>
      <c r="G21" t="n">
        <v>2.4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64238-2019</t>
        </is>
      </c>
      <c r="B22" s="1" t="n">
        <v>43797</v>
      </c>
      <c r="C22" s="1" t="n">
        <v>45277</v>
      </c>
      <c r="D22" t="inlineStr">
        <is>
          <t>VÄRMLANDS LÄN</t>
        </is>
      </c>
      <c r="E22" t="inlineStr">
        <is>
          <t>MUNKFORS</t>
        </is>
      </c>
      <c r="F22" t="inlineStr">
        <is>
          <t>Bergvik skog väst AB</t>
        </is>
      </c>
      <c r="G22" t="n">
        <v>4.3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65302-2019</t>
        </is>
      </c>
      <c r="B23" s="1" t="n">
        <v>43802</v>
      </c>
      <c r="C23" s="1" t="n">
        <v>45277</v>
      </c>
      <c r="D23" t="inlineStr">
        <is>
          <t>VÄRMLANDS LÄN</t>
        </is>
      </c>
      <c r="E23" t="inlineStr">
        <is>
          <t>MUNKFORS</t>
        </is>
      </c>
      <c r="F23" t="inlineStr">
        <is>
          <t>Bergvik skog väst AB</t>
        </is>
      </c>
      <c r="G23" t="n">
        <v>3.8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68259-2019</t>
        </is>
      </c>
      <c r="B24" s="1" t="n">
        <v>43817</v>
      </c>
      <c r="C24" s="1" t="n">
        <v>45277</v>
      </c>
      <c r="D24" t="inlineStr">
        <is>
          <t>VÄRMLANDS LÄN</t>
        </is>
      </c>
      <c r="E24" t="inlineStr">
        <is>
          <t>MUNKFORS</t>
        </is>
      </c>
      <c r="G24" t="n">
        <v>14.2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170-2020</t>
        </is>
      </c>
      <c r="B25" s="1" t="n">
        <v>43833</v>
      </c>
      <c r="C25" s="1" t="n">
        <v>45277</v>
      </c>
      <c r="D25" t="inlineStr">
        <is>
          <t>VÄRMLANDS LÄN</t>
        </is>
      </c>
      <c r="E25" t="inlineStr">
        <is>
          <t>MUNKFORS</t>
        </is>
      </c>
      <c r="F25" t="inlineStr">
        <is>
          <t>Bergvik skog väst AB</t>
        </is>
      </c>
      <c r="G25" t="n">
        <v>1.8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372-2020</t>
        </is>
      </c>
      <c r="B26" s="1" t="n">
        <v>43837</v>
      </c>
      <c r="C26" s="1" t="n">
        <v>45277</v>
      </c>
      <c r="D26" t="inlineStr">
        <is>
          <t>VÄRMLANDS LÄN</t>
        </is>
      </c>
      <c r="E26" t="inlineStr">
        <is>
          <t>MUNKFORS</t>
        </is>
      </c>
      <c r="F26" t="inlineStr">
        <is>
          <t>Bergvik skog väst AB</t>
        </is>
      </c>
      <c r="G26" t="n">
        <v>12.6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1284-2020</t>
        </is>
      </c>
      <c r="B27" s="1" t="n">
        <v>43842</v>
      </c>
      <c r="C27" s="1" t="n">
        <v>45277</v>
      </c>
      <c r="D27" t="inlineStr">
        <is>
          <t>VÄRMLANDS LÄN</t>
        </is>
      </c>
      <c r="E27" t="inlineStr">
        <is>
          <t>MUNKFORS</t>
        </is>
      </c>
      <c r="F27" t="inlineStr">
        <is>
          <t>Bergvik skog väst AB</t>
        </is>
      </c>
      <c r="G27" t="n">
        <v>2.2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9136-2020</t>
        </is>
      </c>
      <c r="B28" s="1" t="n">
        <v>43879</v>
      </c>
      <c r="C28" s="1" t="n">
        <v>45277</v>
      </c>
      <c r="D28" t="inlineStr">
        <is>
          <t>VÄRMLANDS LÄN</t>
        </is>
      </c>
      <c r="E28" t="inlineStr">
        <is>
          <t>MUNKFORS</t>
        </is>
      </c>
      <c r="G28" t="n">
        <v>1.4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10827-2020</t>
        </is>
      </c>
      <c r="B29" s="1" t="n">
        <v>43888</v>
      </c>
      <c r="C29" s="1" t="n">
        <v>45277</v>
      </c>
      <c r="D29" t="inlineStr">
        <is>
          <t>VÄRMLANDS LÄN</t>
        </is>
      </c>
      <c r="E29" t="inlineStr">
        <is>
          <t>MUNKFORS</t>
        </is>
      </c>
      <c r="G29" t="n">
        <v>2.3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15290-2020</t>
        </is>
      </c>
      <c r="B30" s="1" t="n">
        <v>43913</v>
      </c>
      <c r="C30" s="1" t="n">
        <v>45277</v>
      </c>
      <c r="D30" t="inlineStr">
        <is>
          <t>VÄRMLANDS LÄN</t>
        </is>
      </c>
      <c r="E30" t="inlineStr">
        <is>
          <t>MUNKFORS</t>
        </is>
      </c>
      <c r="G30" t="n">
        <v>2.5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16833-2020</t>
        </is>
      </c>
      <c r="B31" s="1" t="n">
        <v>43921</v>
      </c>
      <c r="C31" s="1" t="n">
        <v>45277</v>
      </c>
      <c r="D31" t="inlineStr">
        <is>
          <t>VÄRMLANDS LÄN</t>
        </is>
      </c>
      <c r="E31" t="inlineStr">
        <is>
          <t>MUNKFORS</t>
        </is>
      </c>
      <c r="F31" t="inlineStr">
        <is>
          <t>Kyrkan</t>
        </is>
      </c>
      <c r="G31" t="n">
        <v>2.4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19887-2020</t>
        </is>
      </c>
      <c r="B32" s="1" t="n">
        <v>43941</v>
      </c>
      <c r="C32" s="1" t="n">
        <v>45277</v>
      </c>
      <c r="D32" t="inlineStr">
        <is>
          <t>VÄRMLANDS LÄN</t>
        </is>
      </c>
      <c r="E32" t="inlineStr">
        <is>
          <t>MUNKFORS</t>
        </is>
      </c>
      <c r="F32" t="inlineStr">
        <is>
          <t>Bergvik skog väst AB</t>
        </is>
      </c>
      <c r="G32" t="n">
        <v>0.4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28877-2020</t>
        </is>
      </c>
      <c r="B33" s="1" t="n">
        <v>44000</v>
      </c>
      <c r="C33" s="1" t="n">
        <v>45277</v>
      </c>
      <c r="D33" t="inlineStr">
        <is>
          <t>VÄRMLANDS LÄN</t>
        </is>
      </c>
      <c r="E33" t="inlineStr">
        <is>
          <t>MUNKFORS</t>
        </is>
      </c>
      <c r="G33" t="n">
        <v>0.8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35977-2020</t>
        </is>
      </c>
      <c r="B34" s="1" t="n">
        <v>44047</v>
      </c>
      <c r="C34" s="1" t="n">
        <v>45277</v>
      </c>
      <c r="D34" t="inlineStr">
        <is>
          <t>VÄRMLANDS LÄN</t>
        </is>
      </c>
      <c r="E34" t="inlineStr">
        <is>
          <t>MUNKFORS</t>
        </is>
      </c>
      <c r="F34" t="inlineStr">
        <is>
          <t>Kyrkan</t>
        </is>
      </c>
      <c r="G34" t="n">
        <v>1.9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38603-2020</t>
        </is>
      </c>
      <c r="B35" s="1" t="n">
        <v>44061</v>
      </c>
      <c r="C35" s="1" t="n">
        <v>45277</v>
      </c>
      <c r="D35" t="inlineStr">
        <is>
          <t>VÄRMLANDS LÄN</t>
        </is>
      </c>
      <c r="E35" t="inlineStr">
        <is>
          <t>MUNKFORS</t>
        </is>
      </c>
      <c r="F35" t="inlineStr">
        <is>
          <t>Bergvik skog väst AB</t>
        </is>
      </c>
      <c r="G35" t="n">
        <v>0.3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38693-2020</t>
        </is>
      </c>
      <c r="B36" s="1" t="n">
        <v>44061</v>
      </c>
      <c r="C36" s="1" t="n">
        <v>45277</v>
      </c>
      <c r="D36" t="inlineStr">
        <is>
          <t>VÄRMLANDS LÄN</t>
        </is>
      </c>
      <c r="E36" t="inlineStr">
        <is>
          <t>MUNKFORS</t>
        </is>
      </c>
      <c r="F36" t="inlineStr">
        <is>
          <t>Bergvik skog väst AB</t>
        </is>
      </c>
      <c r="G36" t="n">
        <v>0.7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42522-2020</t>
        </is>
      </c>
      <c r="B37" s="1" t="n">
        <v>44077</v>
      </c>
      <c r="C37" s="1" t="n">
        <v>45277</v>
      </c>
      <c r="D37" t="inlineStr">
        <is>
          <t>VÄRMLANDS LÄN</t>
        </is>
      </c>
      <c r="E37" t="inlineStr">
        <is>
          <t>MUNKFORS</t>
        </is>
      </c>
      <c r="F37" t="inlineStr">
        <is>
          <t>Bergvik skog väst AB</t>
        </is>
      </c>
      <c r="G37" t="n">
        <v>0.3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42539-2020</t>
        </is>
      </c>
      <c r="B38" s="1" t="n">
        <v>44077</v>
      </c>
      <c r="C38" s="1" t="n">
        <v>45277</v>
      </c>
      <c r="D38" t="inlineStr">
        <is>
          <t>VÄRMLANDS LÄN</t>
        </is>
      </c>
      <c r="E38" t="inlineStr">
        <is>
          <t>MUNKFORS</t>
        </is>
      </c>
      <c r="F38" t="inlineStr">
        <is>
          <t>Bergvik skog väst AB</t>
        </is>
      </c>
      <c r="G38" t="n">
        <v>1.5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48104-2020</t>
        </is>
      </c>
      <c r="B39" s="1" t="n">
        <v>44101</v>
      </c>
      <c r="C39" s="1" t="n">
        <v>45277</v>
      </c>
      <c r="D39" t="inlineStr">
        <is>
          <t>VÄRMLANDS LÄN</t>
        </is>
      </c>
      <c r="E39" t="inlineStr">
        <is>
          <t>MUNKFORS</t>
        </is>
      </c>
      <c r="F39" t="inlineStr">
        <is>
          <t>Bergvik skog väst AB</t>
        </is>
      </c>
      <c r="G39" t="n">
        <v>8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48114-2020</t>
        </is>
      </c>
      <c r="B40" s="1" t="n">
        <v>44101</v>
      </c>
      <c r="C40" s="1" t="n">
        <v>45277</v>
      </c>
      <c r="D40" t="inlineStr">
        <is>
          <t>VÄRMLANDS LÄN</t>
        </is>
      </c>
      <c r="E40" t="inlineStr">
        <is>
          <t>MUNKFORS</t>
        </is>
      </c>
      <c r="G40" t="n">
        <v>0.9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49456-2020</t>
        </is>
      </c>
      <c r="B41" s="1" t="n">
        <v>44105</v>
      </c>
      <c r="C41" s="1" t="n">
        <v>45277</v>
      </c>
      <c r="D41" t="inlineStr">
        <is>
          <t>VÄRMLANDS LÄN</t>
        </is>
      </c>
      <c r="E41" t="inlineStr">
        <is>
          <t>MUNKFORS</t>
        </is>
      </c>
      <c r="G41" t="n">
        <v>1.3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51344-2020</t>
        </is>
      </c>
      <c r="B42" s="1" t="n">
        <v>44112</v>
      </c>
      <c r="C42" s="1" t="n">
        <v>45277</v>
      </c>
      <c r="D42" t="inlineStr">
        <is>
          <t>VÄRMLANDS LÄN</t>
        </is>
      </c>
      <c r="E42" t="inlineStr">
        <is>
          <t>MUNKFORS</t>
        </is>
      </c>
      <c r="G42" t="n">
        <v>1.1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53806-2020</t>
        </is>
      </c>
      <c r="B43" s="1" t="n">
        <v>44124</v>
      </c>
      <c r="C43" s="1" t="n">
        <v>45277</v>
      </c>
      <c r="D43" t="inlineStr">
        <is>
          <t>VÄRMLANDS LÄN</t>
        </is>
      </c>
      <c r="E43" t="inlineStr">
        <is>
          <t>MUNKFORS</t>
        </is>
      </c>
      <c r="G43" t="n">
        <v>2.6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59392-2020</t>
        </is>
      </c>
      <c r="B44" s="1" t="n">
        <v>44148</v>
      </c>
      <c r="C44" s="1" t="n">
        <v>45277</v>
      </c>
      <c r="D44" t="inlineStr">
        <is>
          <t>VÄRMLANDS LÄN</t>
        </is>
      </c>
      <c r="E44" t="inlineStr">
        <is>
          <t>MUNKFORS</t>
        </is>
      </c>
      <c r="G44" t="n">
        <v>1.4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62842-2020</t>
        </is>
      </c>
      <c r="B45" s="1" t="n">
        <v>44161</v>
      </c>
      <c r="C45" s="1" t="n">
        <v>45277</v>
      </c>
      <c r="D45" t="inlineStr">
        <is>
          <t>VÄRMLANDS LÄN</t>
        </is>
      </c>
      <c r="E45" t="inlineStr">
        <is>
          <t>MUNKFORS</t>
        </is>
      </c>
      <c r="G45" t="n">
        <v>2.6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3287-2021</t>
        </is>
      </c>
      <c r="B46" s="1" t="n">
        <v>44217</v>
      </c>
      <c r="C46" s="1" t="n">
        <v>45277</v>
      </c>
      <c r="D46" t="inlineStr">
        <is>
          <t>VÄRMLANDS LÄN</t>
        </is>
      </c>
      <c r="E46" t="inlineStr">
        <is>
          <t>MUNKFORS</t>
        </is>
      </c>
      <c r="F46" t="inlineStr">
        <is>
          <t>Bergvik skog väst AB</t>
        </is>
      </c>
      <c r="G46" t="n">
        <v>5.2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5428-2021</t>
        </is>
      </c>
      <c r="B47" s="1" t="n">
        <v>44229</v>
      </c>
      <c r="C47" s="1" t="n">
        <v>45277</v>
      </c>
      <c r="D47" t="inlineStr">
        <is>
          <t>VÄRMLANDS LÄN</t>
        </is>
      </c>
      <c r="E47" t="inlineStr">
        <is>
          <t>MUNKFORS</t>
        </is>
      </c>
      <c r="G47" t="n">
        <v>2.5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7170-2021</t>
        </is>
      </c>
      <c r="B48" s="1" t="n">
        <v>44238</v>
      </c>
      <c r="C48" s="1" t="n">
        <v>45277</v>
      </c>
      <c r="D48" t="inlineStr">
        <is>
          <t>VÄRMLANDS LÄN</t>
        </is>
      </c>
      <c r="E48" t="inlineStr">
        <is>
          <t>MUNKFORS</t>
        </is>
      </c>
      <c r="G48" t="n">
        <v>1.6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10721-2021</t>
        </is>
      </c>
      <c r="B49" s="1" t="n">
        <v>44258</v>
      </c>
      <c r="C49" s="1" t="n">
        <v>45277</v>
      </c>
      <c r="D49" t="inlineStr">
        <is>
          <t>VÄRMLANDS LÄN</t>
        </is>
      </c>
      <c r="E49" t="inlineStr">
        <is>
          <t>MUNKFORS</t>
        </is>
      </c>
      <c r="G49" t="n">
        <v>4.1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10720-2021</t>
        </is>
      </c>
      <c r="B50" s="1" t="n">
        <v>44258</v>
      </c>
      <c r="C50" s="1" t="n">
        <v>45277</v>
      </c>
      <c r="D50" t="inlineStr">
        <is>
          <t>VÄRMLANDS LÄN</t>
        </is>
      </c>
      <c r="E50" t="inlineStr">
        <is>
          <t>MUNKFORS</t>
        </is>
      </c>
      <c r="G50" t="n">
        <v>5.7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18978-2021</t>
        </is>
      </c>
      <c r="B51" s="1" t="n">
        <v>44308</v>
      </c>
      <c r="C51" s="1" t="n">
        <v>45277</v>
      </c>
      <c r="D51" t="inlineStr">
        <is>
          <t>VÄRMLANDS LÄN</t>
        </is>
      </c>
      <c r="E51" t="inlineStr">
        <is>
          <t>MUNKFORS</t>
        </is>
      </c>
      <c r="F51" t="inlineStr">
        <is>
          <t>Bergvik skog väst AB</t>
        </is>
      </c>
      <c r="G51" t="n">
        <v>2.9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22459-2021</t>
        </is>
      </c>
      <c r="B52" s="1" t="n">
        <v>44326</v>
      </c>
      <c r="C52" s="1" t="n">
        <v>45277</v>
      </c>
      <c r="D52" t="inlineStr">
        <is>
          <t>VÄRMLANDS LÄN</t>
        </is>
      </c>
      <c r="E52" t="inlineStr">
        <is>
          <t>MUNKFORS</t>
        </is>
      </c>
      <c r="G52" t="n">
        <v>1.2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23840-2021</t>
        </is>
      </c>
      <c r="B53" s="1" t="n">
        <v>44335</v>
      </c>
      <c r="C53" s="1" t="n">
        <v>45277</v>
      </c>
      <c r="D53" t="inlineStr">
        <is>
          <t>VÄRMLANDS LÄN</t>
        </is>
      </c>
      <c r="E53" t="inlineStr">
        <is>
          <t>MUNKFORS</t>
        </is>
      </c>
      <c r="G53" t="n">
        <v>1.9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34538-2021</t>
        </is>
      </c>
      <c r="B54" s="1" t="n">
        <v>44382</v>
      </c>
      <c r="C54" s="1" t="n">
        <v>45277</v>
      </c>
      <c r="D54" t="inlineStr">
        <is>
          <t>VÄRMLANDS LÄN</t>
        </is>
      </c>
      <c r="E54" t="inlineStr">
        <is>
          <t>MUNKFORS</t>
        </is>
      </c>
      <c r="F54" t="inlineStr">
        <is>
          <t>Kommuner</t>
        </is>
      </c>
      <c r="G54" t="n">
        <v>0.6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38374-2021</t>
        </is>
      </c>
      <c r="B55" s="1" t="n">
        <v>44406</v>
      </c>
      <c r="C55" s="1" t="n">
        <v>45277</v>
      </c>
      <c r="D55" t="inlineStr">
        <is>
          <t>VÄRMLANDS LÄN</t>
        </is>
      </c>
      <c r="E55" t="inlineStr">
        <is>
          <t>MUNKFORS</t>
        </is>
      </c>
      <c r="F55" t="inlineStr">
        <is>
          <t>Bergvik skog väst AB</t>
        </is>
      </c>
      <c r="G55" t="n">
        <v>5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38945-2021</t>
        </is>
      </c>
      <c r="B56" s="1" t="n">
        <v>44411</v>
      </c>
      <c r="C56" s="1" t="n">
        <v>45277</v>
      </c>
      <c r="D56" t="inlineStr">
        <is>
          <t>VÄRMLANDS LÄN</t>
        </is>
      </c>
      <c r="E56" t="inlineStr">
        <is>
          <t>MUNKFORS</t>
        </is>
      </c>
      <c r="G56" t="n">
        <v>1.1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38947-2021</t>
        </is>
      </c>
      <c r="B57" s="1" t="n">
        <v>44411</v>
      </c>
      <c r="C57" s="1" t="n">
        <v>45277</v>
      </c>
      <c r="D57" t="inlineStr">
        <is>
          <t>VÄRMLANDS LÄN</t>
        </is>
      </c>
      <c r="E57" t="inlineStr">
        <is>
          <t>MUNKFORS</t>
        </is>
      </c>
      <c r="G57" t="n">
        <v>9.699999999999999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42079-2021</t>
        </is>
      </c>
      <c r="B58" s="1" t="n">
        <v>44426</v>
      </c>
      <c r="C58" s="1" t="n">
        <v>45277</v>
      </c>
      <c r="D58" t="inlineStr">
        <is>
          <t>VÄRMLANDS LÄN</t>
        </is>
      </c>
      <c r="E58" t="inlineStr">
        <is>
          <t>MUNKFORS</t>
        </is>
      </c>
      <c r="F58" t="inlineStr">
        <is>
          <t>Kyrkan</t>
        </is>
      </c>
      <c r="G58" t="n">
        <v>1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46429-2021</t>
        </is>
      </c>
      <c r="B59" s="1" t="n">
        <v>44441</v>
      </c>
      <c r="C59" s="1" t="n">
        <v>45277</v>
      </c>
      <c r="D59" t="inlineStr">
        <is>
          <t>VÄRMLANDS LÄN</t>
        </is>
      </c>
      <c r="E59" t="inlineStr">
        <is>
          <t>MUNKFORS</t>
        </is>
      </c>
      <c r="G59" t="n">
        <v>4.1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55664-2021</t>
        </is>
      </c>
      <c r="B60" s="1" t="n">
        <v>44476</v>
      </c>
      <c r="C60" s="1" t="n">
        <v>45277</v>
      </c>
      <c r="D60" t="inlineStr">
        <is>
          <t>VÄRMLANDS LÄN</t>
        </is>
      </c>
      <c r="E60" t="inlineStr">
        <is>
          <t>MUNKFORS</t>
        </is>
      </c>
      <c r="G60" t="n">
        <v>6.7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65754-2021</t>
        </is>
      </c>
      <c r="B61" s="1" t="n">
        <v>44516</v>
      </c>
      <c r="C61" s="1" t="n">
        <v>45277</v>
      </c>
      <c r="D61" t="inlineStr">
        <is>
          <t>VÄRMLANDS LÄN</t>
        </is>
      </c>
      <c r="E61" t="inlineStr">
        <is>
          <t>MUNKFORS</t>
        </is>
      </c>
      <c r="G61" t="n">
        <v>3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69319-2021</t>
        </is>
      </c>
      <c r="B62" s="1" t="n">
        <v>44531</v>
      </c>
      <c r="C62" s="1" t="n">
        <v>45277</v>
      </c>
      <c r="D62" t="inlineStr">
        <is>
          <t>VÄRMLANDS LÄN</t>
        </is>
      </c>
      <c r="E62" t="inlineStr">
        <is>
          <t>MUNKFORS</t>
        </is>
      </c>
      <c r="G62" t="n">
        <v>0.9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69273-2021</t>
        </is>
      </c>
      <c r="B63" s="1" t="n">
        <v>44531</v>
      </c>
      <c r="C63" s="1" t="n">
        <v>45277</v>
      </c>
      <c r="D63" t="inlineStr">
        <is>
          <t>VÄRMLANDS LÄN</t>
        </is>
      </c>
      <c r="E63" t="inlineStr">
        <is>
          <t>MUNKFORS</t>
        </is>
      </c>
      <c r="F63" t="inlineStr">
        <is>
          <t>Kyrkan</t>
        </is>
      </c>
      <c r="G63" t="n">
        <v>2.6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449-2022</t>
        </is>
      </c>
      <c r="B64" s="1" t="n">
        <v>44566</v>
      </c>
      <c r="C64" s="1" t="n">
        <v>45277</v>
      </c>
      <c r="D64" t="inlineStr">
        <is>
          <t>VÄRMLANDS LÄN</t>
        </is>
      </c>
      <c r="E64" t="inlineStr">
        <is>
          <t>MUNKFORS</t>
        </is>
      </c>
      <c r="F64" t="inlineStr">
        <is>
          <t>Bergvik skog väst AB</t>
        </is>
      </c>
      <c r="G64" t="n">
        <v>2.8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8202-2022</t>
        </is>
      </c>
      <c r="B65" s="1" t="n">
        <v>44609</v>
      </c>
      <c r="C65" s="1" t="n">
        <v>45277</v>
      </c>
      <c r="D65" t="inlineStr">
        <is>
          <t>VÄRMLANDS LÄN</t>
        </is>
      </c>
      <c r="E65" t="inlineStr">
        <is>
          <t>MUNKFORS</t>
        </is>
      </c>
      <c r="G65" t="n">
        <v>7.4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12114-2022</t>
        </is>
      </c>
      <c r="B66" s="1" t="n">
        <v>44636</v>
      </c>
      <c r="C66" s="1" t="n">
        <v>45277</v>
      </c>
      <c r="D66" t="inlineStr">
        <is>
          <t>VÄRMLANDS LÄN</t>
        </is>
      </c>
      <c r="E66" t="inlineStr">
        <is>
          <t>MUNKFORS</t>
        </is>
      </c>
      <c r="G66" t="n">
        <v>3.1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13599-2022</t>
        </is>
      </c>
      <c r="B67" s="1" t="n">
        <v>44648</v>
      </c>
      <c r="C67" s="1" t="n">
        <v>45277</v>
      </c>
      <c r="D67" t="inlineStr">
        <is>
          <t>VÄRMLANDS LÄN</t>
        </is>
      </c>
      <c r="E67" t="inlineStr">
        <is>
          <t>MUNKFORS</t>
        </is>
      </c>
      <c r="G67" t="n">
        <v>0.6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13572-2022</t>
        </is>
      </c>
      <c r="B68" s="1" t="n">
        <v>44648</v>
      </c>
      <c r="C68" s="1" t="n">
        <v>45277</v>
      </c>
      <c r="D68" t="inlineStr">
        <is>
          <t>VÄRMLANDS LÄN</t>
        </is>
      </c>
      <c r="E68" t="inlineStr">
        <is>
          <t>MUNKFORS</t>
        </is>
      </c>
      <c r="G68" t="n">
        <v>2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13578-2022</t>
        </is>
      </c>
      <c r="B69" s="1" t="n">
        <v>44648</v>
      </c>
      <c r="C69" s="1" t="n">
        <v>45277</v>
      </c>
      <c r="D69" t="inlineStr">
        <is>
          <t>VÄRMLANDS LÄN</t>
        </is>
      </c>
      <c r="E69" t="inlineStr">
        <is>
          <t>MUNKFORS</t>
        </is>
      </c>
      <c r="G69" t="n">
        <v>1.1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13596-2022</t>
        </is>
      </c>
      <c r="B70" s="1" t="n">
        <v>44648</v>
      </c>
      <c r="C70" s="1" t="n">
        <v>45277</v>
      </c>
      <c r="D70" t="inlineStr">
        <is>
          <t>VÄRMLANDS LÄN</t>
        </is>
      </c>
      <c r="E70" t="inlineStr">
        <is>
          <t>MUNKFORS</t>
        </is>
      </c>
      <c r="G70" t="n">
        <v>0.8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13576-2022</t>
        </is>
      </c>
      <c r="B71" s="1" t="n">
        <v>44648</v>
      </c>
      <c r="C71" s="1" t="n">
        <v>45277</v>
      </c>
      <c r="D71" t="inlineStr">
        <is>
          <t>VÄRMLANDS LÄN</t>
        </is>
      </c>
      <c r="E71" t="inlineStr">
        <is>
          <t>MUNKFORS</t>
        </is>
      </c>
      <c r="G71" t="n">
        <v>1.9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14613-2022</t>
        </is>
      </c>
      <c r="B72" s="1" t="n">
        <v>44655</v>
      </c>
      <c r="C72" s="1" t="n">
        <v>45277</v>
      </c>
      <c r="D72" t="inlineStr">
        <is>
          <t>VÄRMLANDS LÄN</t>
        </is>
      </c>
      <c r="E72" t="inlineStr">
        <is>
          <t>MUNKFORS</t>
        </is>
      </c>
      <c r="F72" t="inlineStr">
        <is>
          <t>Bergvik skog väst AB</t>
        </is>
      </c>
      <c r="G72" t="n">
        <v>21.3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16073-2022</t>
        </is>
      </c>
      <c r="B73" s="1" t="n">
        <v>44665</v>
      </c>
      <c r="C73" s="1" t="n">
        <v>45277</v>
      </c>
      <c r="D73" t="inlineStr">
        <is>
          <t>VÄRMLANDS LÄN</t>
        </is>
      </c>
      <c r="E73" t="inlineStr">
        <is>
          <t>MUNKFORS</t>
        </is>
      </c>
      <c r="F73" t="inlineStr">
        <is>
          <t>Bergvik skog väst AB</t>
        </is>
      </c>
      <c r="G73" t="n">
        <v>2.6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18303-2022</t>
        </is>
      </c>
      <c r="B74" s="1" t="n">
        <v>44685</v>
      </c>
      <c r="C74" s="1" t="n">
        <v>45277</v>
      </c>
      <c r="D74" t="inlineStr">
        <is>
          <t>VÄRMLANDS LÄN</t>
        </is>
      </c>
      <c r="E74" t="inlineStr">
        <is>
          <t>MUNKFORS</t>
        </is>
      </c>
      <c r="F74" t="inlineStr">
        <is>
          <t>Bergvik skog väst AB</t>
        </is>
      </c>
      <c r="G74" t="n">
        <v>1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19320-2022</t>
        </is>
      </c>
      <c r="B75" s="1" t="n">
        <v>44692</v>
      </c>
      <c r="C75" s="1" t="n">
        <v>45277</v>
      </c>
      <c r="D75" t="inlineStr">
        <is>
          <t>VÄRMLANDS LÄN</t>
        </is>
      </c>
      <c r="E75" t="inlineStr">
        <is>
          <t>MUNKFORS</t>
        </is>
      </c>
      <c r="G75" t="n">
        <v>6.2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22234-2022</t>
        </is>
      </c>
      <c r="B76" s="1" t="n">
        <v>44712</v>
      </c>
      <c r="C76" s="1" t="n">
        <v>45277</v>
      </c>
      <c r="D76" t="inlineStr">
        <is>
          <t>VÄRMLANDS LÄN</t>
        </is>
      </c>
      <c r="E76" t="inlineStr">
        <is>
          <t>MUNKFORS</t>
        </is>
      </c>
      <c r="F76" t="inlineStr">
        <is>
          <t>Bergvik skog väst AB</t>
        </is>
      </c>
      <c r="G76" t="n">
        <v>0.8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24567-2022</t>
        </is>
      </c>
      <c r="B77" s="1" t="n">
        <v>44727</v>
      </c>
      <c r="C77" s="1" t="n">
        <v>45277</v>
      </c>
      <c r="D77" t="inlineStr">
        <is>
          <t>VÄRMLANDS LÄN</t>
        </is>
      </c>
      <c r="E77" t="inlineStr">
        <is>
          <t>MUNKFORS</t>
        </is>
      </c>
      <c r="G77" t="n">
        <v>2.2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24566-2022</t>
        </is>
      </c>
      <c r="B78" s="1" t="n">
        <v>44727</v>
      </c>
      <c r="C78" s="1" t="n">
        <v>45277</v>
      </c>
      <c r="D78" t="inlineStr">
        <is>
          <t>VÄRMLANDS LÄN</t>
        </is>
      </c>
      <c r="E78" t="inlineStr">
        <is>
          <t>MUNKFORS</t>
        </is>
      </c>
      <c r="G78" t="n">
        <v>0.7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27190-2022</t>
        </is>
      </c>
      <c r="B79" s="1" t="n">
        <v>44741</v>
      </c>
      <c r="C79" s="1" t="n">
        <v>45277</v>
      </c>
      <c r="D79" t="inlineStr">
        <is>
          <t>VÄRMLANDS LÄN</t>
        </is>
      </c>
      <c r="E79" t="inlineStr">
        <is>
          <t>MUNKFORS</t>
        </is>
      </c>
      <c r="F79" t="inlineStr">
        <is>
          <t>Kyrkan</t>
        </is>
      </c>
      <c r="G79" t="n">
        <v>11.5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28316-2022</t>
        </is>
      </c>
      <c r="B80" s="1" t="n">
        <v>44747</v>
      </c>
      <c r="C80" s="1" t="n">
        <v>45277</v>
      </c>
      <c r="D80" t="inlineStr">
        <is>
          <t>VÄRMLANDS LÄN</t>
        </is>
      </c>
      <c r="E80" t="inlineStr">
        <is>
          <t>MUNKFORS</t>
        </is>
      </c>
      <c r="G80" t="n">
        <v>2.2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28674-2022</t>
        </is>
      </c>
      <c r="B81" s="1" t="n">
        <v>44748</v>
      </c>
      <c r="C81" s="1" t="n">
        <v>45277</v>
      </c>
      <c r="D81" t="inlineStr">
        <is>
          <t>VÄRMLANDS LÄN</t>
        </is>
      </c>
      <c r="E81" t="inlineStr">
        <is>
          <t>MUNKFORS</t>
        </is>
      </c>
      <c r="G81" t="n">
        <v>3.2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30700-2022</t>
        </is>
      </c>
      <c r="B82" s="1" t="n">
        <v>44763</v>
      </c>
      <c r="C82" s="1" t="n">
        <v>45277</v>
      </c>
      <c r="D82" t="inlineStr">
        <is>
          <t>VÄRMLANDS LÄN</t>
        </is>
      </c>
      <c r="E82" t="inlineStr">
        <is>
          <t>MUNKFORS</t>
        </is>
      </c>
      <c r="G82" t="n">
        <v>0.9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30704-2022</t>
        </is>
      </c>
      <c r="B83" s="1" t="n">
        <v>44763</v>
      </c>
      <c r="C83" s="1" t="n">
        <v>45277</v>
      </c>
      <c r="D83" t="inlineStr">
        <is>
          <t>VÄRMLANDS LÄN</t>
        </is>
      </c>
      <c r="E83" t="inlineStr">
        <is>
          <t>MUNKFORS</t>
        </is>
      </c>
      <c r="G83" t="n">
        <v>0.9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32389-2022</t>
        </is>
      </c>
      <c r="B84" s="1" t="n">
        <v>44782</v>
      </c>
      <c r="C84" s="1" t="n">
        <v>45277</v>
      </c>
      <c r="D84" t="inlineStr">
        <is>
          <t>VÄRMLANDS LÄN</t>
        </is>
      </c>
      <c r="E84" t="inlineStr">
        <is>
          <t>MUNKFORS</t>
        </is>
      </c>
      <c r="G84" t="n">
        <v>3.1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33908-2022</t>
        </is>
      </c>
      <c r="B85" s="1" t="n">
        <v>44790</v>
      </c>
      <c r="C85" s="1" t="n">
        <v>45277</v>
      </c>
      <c r="D85" t="inlineStr">
        <is>
          <t>VÄRMLANDS LÄN</t>
        </is>
      </c>
      <c r="E85" t="inlineStr">
        <is>
          <t>MUNKFORS</t>
        </is>
      </c>
      <c r="G85" t="n">
        <v>1.1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38238-2022</t>
        </is>
      </c>
      <c r="B86" s="1" t="n">
        <v>44812</v>
      </c>
      <c r="C86" s="1" t="n">
        <v>45277</v>
      </c>
      <c r="D86" t="inlineStr">
        <is>
          <t>VÄRMLANDS LÄN</t>
        </is>
      </c>
      <c r="E86" t="inlineStr">
        <is>
          <t>MUNKFORS</t>
        </is>
      </c>
      <c r="G86" t="n">
        <v>1.7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38454-2022</t>
        </is>
      </c>
      <c r="B87" s="1" t="n">
        <v>44813</v>
      </c>
      <c r="C87" s="1" t="n">
        <v>45277</v>
      </c>
      <c r="D87" t="inlineStr">
        <is>
          <t>VÄRMLANDS LÄN</t>
        </is>
      </c>
      <c r="E87" t="inlineStr">
        <is>
          <t>MUNKFORS</t>
        </is>
      </c>
      <c r="F87" t="inlineStr">
        <is>
          <t>Bergvik skog väst AB</t>
        </is>
      </c>
      <c r="G87" t="n">
        <v>2.9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38713-2022</t>
        </is>
      </c>
      <c r="B88" s="1" t="n">
        <v>44815</v>
      </c>
      <c r="C88" s="1" t="n">
        <v>45277</v>
      </c>
      <c r="D88" t="inlineStr">
        <is>
          <t>VÄRMLANDS LÄN</t>
        </is>
      </c>
      <c r="E88" t="inlineStr">
        <is>
          <t>MUNKFORS</t>
        </is>
      </c>
      <c r="G88" t="n">
        <v>2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41150-2022</t>
        </is>
      </c>
      <c r="B89" s="1" t="n">
        <v>44825</v>
      </c>
      <c r="C89" s="1" t="n">
        <v>45277</v>
      </c>
      <c r="D89" t="inlineStr">
        <is>
          <t>VÄRMLANDS LÄN</t>
        </is>
      </c>
      <c r="E89" t="inlineStr">
        <is>
          <t>MUNKFORS</t>
        </is>
      </c>
      <c r="G89" t="n">
        <v>0.5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41396-2022</t>
        </is>
      </c>
      <c r="B90" s="1" t="n">
        <v>44826</v>
      </c>
      <c r="C90" s="1" t="n">
        <v>45277</v>
      </c>
      <c r="D90" t="inlineStr">
        <is>
          <t>VÄRMLANDS LÄN</t>
        </is>
      </c>
      <c r="E90" t="inlineStr">
        <is>
          <t>MUNKFORS</t>
        </is>
      </c>
      <c r="F90" t="inlineStr">
        <is>
          <t>Bergvik skog väst AB</t>
        </is>
      </c>
      <c r="G90" t="n">
        <v>14.4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60564-2022</t>
        </is>
      </c>
      <c r="B91" s="1" t="n">
        <v>44911</v>
      </c>
      <c r="C91" s="1" t="n">
        <v>45277</v>
      </c>
      <c r="D91" t="inlineStr">
        <is>
          <t>VÄRMLANDS LÄN</t>
        </is>
      </c>
      <c r="E91" t="inlineStr">
        <is>
          <t>MUNKFORS</t>
        </is>
      </c>
      <c r="F91" t="inlineStr">
        <is>
          <t>Bergvik skog väst AB</t>
        </is>
      </c>
      <c r="G91" t="n">
        <v>3.1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60620-2022</t>
        </is>
      </c>
      <c r="B92" s="1" t="n">
        <v>44911</v>
      </c>
      <c r="C92" s="1" t="n">
        <v>45277</v>
      </c>
      <c r="D92" t="inlineStr">
        <is>
          <t>VÄRMLANDS LÄN</t>
        </is>
      </c>
      <c r="E92" t="inlineStr">
        <is>
          <t>MUNKFORS</t>
        </is>
      </c>
      <c r="F92" t="inlineStr">
        <is>
          <t>Bergvik skog väst AB</t>
        </is>
      </c>
      <c r="G92" t="n">
        <v>2.1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127-2023</t>
        </is>
      </c>
      <c r="B93" s="1" t="n">
        <v>44928</v>
      </c>
      <c r="C93" s="1" t="n">
        <v>45277</v>
      </c>
      <c r="D93" t="inlineStr">
        <is>
          <t>VÄRMLANDS LÄN</t>
        </is>
      </c>
      <c r="E93" t="inlineStr">
        <is>
          <t>MUNKFORS</t>
        </is>
      </c>
      <c r="G93" t="n">
        <v>0.7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4610-2023</t>
        </is>
      </c>
      <c r="B94" s="1" t="n">
        <v>44951</v>
      </c>
      <c r="C94" s="1" t="n">
        <v>45277</v>
      </c>
      <c r="D94" t="inlineStr">
        <is>
          <t>VÄRMLANDS LÄN</t>
        </is>
      </c>
      <c r="E94" t="inlineStr">
        <is>
          <t>MUNKFORS</t>
        </is>
      </c>
      <c r="G94" t="n">
        <v>2.8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4792-2023</t>
        </is>
      </c>
      <c r="B95" s="1" t="n">
        <v>44957</v>
      </c>
      <c r="C95" s="1" t="n">
        <v>45277</v>
      </c>
      <c r="D95" t="inlineStr">
        <is>
          <t>VÄRMLANDS LÄN</t>
        </is>
      </c>
      <c r="E95" t="inlineStr">
        <is>
          <t>MUNKFORS</t>
        </is>
      </c>
      <c r="G95" t="n">
        <v>0.9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4795-2023</t>
        </is>
      </c>
      <c r="B96" s="1" t="n">
        <v>44957</v>
      </c>
      <c r="C96" s="1" t="n">
        <v>45277</v>
      </c>
      <c r="D96" t="inlineStr">
        <is>
          <t>VÄRMLANDS LÄN</t>
        </is>
      </c>
      <c r="E96" t="inlineStr">
        <is>
          <t>MUNKFORS</t>
        </is>
      </c>
      <c r="G96" t="n">
        <v>1.3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5778-2023</t>
        </is>
      </c>
      <c r="B97" s="1" t="n">
        <v>44963</v>
      </c>
      <c r="C97" s="1" t="n">
        <v>45277</v>
      </c>
      <c r="D97" t="inlineStr">
        <is>
          <t>VÄRMLANDS LÄN</t>
        </is>
      </c>
      <c r="E97" t="inlineStr">
        <is>
          <t>MUNKFORS</t>
        </is>
      </c>
      <c r="F97" t="inlineStr">
        <is>
          <t>Bergvik skog väst AB</t>
        </is>
      </c>
      <c r="G97" t="n">
        <v>7.4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6349-2023</t>
        </is>
      </c>
      <c r="B98" s="1" t="n">
        <v>44965</v>
      </c>
      <c r="C98" s="1" t="n">
        <v>45277</v>
      </c>
      <c r="D98" t="inlineStr">
        <is>
          <t>VÄRMLANDS LÄN</t>
        </is>
      </c>
      <c r="E98" t="inlineStr">
        <is>
          <t>MUNKFORS</t>
        </is>
      </c>
      <c r="F98" t="inlineStr">
        <is>
          <t>Bergvik skog väst AB</t>
        </is>
      </c>
      <c r="G98" t="n">
        <v>2.9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6524-2023</t>
        </is>
      </c>
      <c r="B99" s="1" t="n">
        <v>44966</v>
      </c>
      <c r="C99" s="1" t="n">
        <v>45277</v>
      </c>
      <c r="D99" t="inlineStr">
        <is>
          <t>VÄRMLANDS LÄN</t>
        </is>
      </c>
      <c r="E99" t="inlineStr">
        <is>
          <t>MUNKFORS</t>
        </is>
      </c>
      <c r="F99" t="inlineStr">
        <is>
          <t>Bergvik skog väst AB</t>
        </is>
      </c>
      <c r="G99" t="n">
        <v>4.2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6653-2023</t>
        </is>
      </c>
      <c r="B100" s="1" t="n">
        <v>44966</v>
      </c>
      <c r="C100" s="1" t="n">
        <v>45277</v>
      </c>
      <c r="D100" t="inlineStr">
        <is>
          <t>VÄRMLANDS LÄN</t>
        </is>
      </c>
      <c r="E100" t="inlineStr">
        <is>
          <t>MUNKFORS</t>
        </is>
      </c>
      <c r="F100" t="inlineStr">
        <is>
          <t>Kyrkan</t>
        </is>
      </c>
      <c r="G100" t="n">
        <v>1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6654-2023</t>
        </is>
      </c>
      <c r="B101" s="1" t="n">
        <v>44966</v>
      </c>
      <c r="C101" s="1" t="n">
        <v>45277</v>
      </c>
      <c r="D101" t="inlineStr">
        <is>
          <t>VÄRMLANDS LÄN</t>
        </is>
      </c>
      <c r="E101" t="inlineStr">
        <is>
          <t>MUNKFORS</t>
        </is>
      </c>
      <c r="F101" t="inlineStr">
        <is>
          <t>Bergvik skog väst AB</t>
        </is>
      </c>
      <c r="G101" t="n">
        <v>7.7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6871-2023</t>
        </is>
      </c>
      <c r="B102" s="1" t="n">
        <v>44967</v>
      </c>
      <c r="C102" s="1" t="n">
        <v>45277</v>
      </c>
      <c r="D102" t="inlineStr">
        <is>
          <t>VÄRMLANDS LÄN</t>
        </is>
      </c>
      <c r="E102" t="inlineStr">
        <is>
          <t>MUNKFORS</t>
        </is>
      </c>
      <c r="F102" t="inlineStr">
        <is>
          <t>Bergvik skog väst AB</t>
        </is>
      </c>
      <c r="G102" t="n">
        <v>1.6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6859-2023</t>
        </is>
      </c>
      <c r="B103" s="1" t="n">
        <v>44967</v>
      </c>
      <c r="C103" s="1" t="n">
        <v>45277</v>
      </c>
      <c r="D103" t="inlineStr">
        <is>
          <t>VÄRMLANDS LÄN</t>
        </is>
      </c>
      <c r="E103" t="inlineStr">
        <is>
          <t>MUNKFORS</t>
        </is>
      </c>
      <c r="F103" t="inlineStr">
        <is>
          <t>Bergvik skog väst AB</t>
        </is>
      </c>
      <c r="G103" t="n">
        <v>1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6877-2023</t>
        </is>
      </c>
      <c r="B104" s="1" t="n">
        <v>44967</v>
      </c>
      <c r="C104" s="1" t="n">
        <v>45277</v>
      </c>
      <c r="D104" t="inlineStr">
        <is>
          <t>VÄRMLANDS LÄN</t>
        </is>
      </c>
      <c r="E104" t="inlineStr">
        <is>
          <t>MUNKFORS</t>
        </is>
      </c>
      <c r="F104" t="inlineStr">
        <is>
          <t>Bergvik skog väst AB</t>
        </is>
      </c>
      <c r="G104" t="n">
        <v>0.6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6901-2023</t>
        </is>
      </c>
      <c r="B105" s="1" t="n">
        <v>44967</v>
      </c>
      <c r="C105" s="1" t="n">
        <v>45277</v>
      </c>
      <c r="D105" t="inlineStr">
        <is>
          <t>VÄRMLANDS LÄN</t>
        </is>
      </c>
      <c r="E105" t="inlineStr">
        <is>
          <t>MUNKFORS</t>
        </is>
      </c>
      <c r="F105" t="inlineStr">
        <is>
          <t>Bergvik skog väst AB</t>
        </is>
      </c>
      <c r="G105" t="n">
        <v>4.4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7614-2023</t>
        </is>
      </c>
      <c r="B106" s="1" t="n">
        <v>44972</v>
      </c>
      <c r="C106" s="1" t="n">
        <v>45277</v>
      </c>
      <c r="D106" t="inlineStr">
        <is>
          <t>VÄRMLANDS LÄN</t>
        </is>
      </c>
      <c r="E106" t="inlineStr">
        <is>
          <t>MUNKFORS</t>
        </is>
      </c>
      <c r="G106" t="n">
        <v>1.3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7618-2023</t>
        </is>
      </c>
      <c r="B107" s="1" t="n">
        <v>44972</v>
      </c>
      <c r="C107" s="1" t="n">
        <v>45277</v>
      </c>
      <c r="D107" t="inlineStr">
        <is>
          <t>VÄRMLANDS LÄN</t>
        </is>
      </c>
      <c r="E107" t="inlineStr">
        <is>
          <t>MUNKFORS</t>
        </is>
      </c>
      <c r="G107" t="n">
        <v>3.9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7646-2023</t>
        </is>
      </c>
      <c r="B108" s="1" t="n">
        <v>44972</v>
      </c>
      <c r="C108" s="1" t="n">
        <v>45277</v>
      </c>
      <c r="D108" t="inlineStr">
        <is>
          <t>VÄRMLANDS LÄN</t>
        </is>
      </c>
      <c r="E108" t="inlineStr">
        <is>
          <t>MUNKFORS</t>
        </is>
      </c>
      <c r="G108" t="n">
        <v>0.4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7678-2023</t>
        </is>
      </c>
      <c r="B109" s="1" t="n">
        <v>44972</v>
      </c>
      <c r="C109" s="1" t="n">
        <v>45277</v>
      </c>
      <c r="D109" t="inlineStr">
        <is>
          <t>VÄRMLANDS LÄN</t>
        </is>
      </c>
      <c r="E109" t="inlineStr">
        <is>
          <t>MUNKFORS</t>
        </is>
      </c>
      <c r="G109" t="n">
        <v>1.2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7683-2023</t>
        </is>
      </c>
      <c r="B110" s="1" t="n">
        <v>44972</v>
      </c>
      <c r="C110" s="1" t="n">
        <v>45277</v>
      </c>
      <c r="D110" t="inlineStr">
        <is>
          <t>VÄRMLANDS LÄN</t>
        </is>
      </c>
      <c r="E110" t="inlineStr">
        <is>
          <t>MUNKFORS</t>
        </is>
      </c>
      <c r="G110" t="n">
        <v>0.2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7688-2023</t>
        </is>
      </c>
      <c r="B111" s="1" t="n">
        <v>44972</v>
      </c>
      <c r="C111" s="1" t="n">
        <v>45277</v>
      </c>
      <c r="D111" t="inlineStr">
        <is>
          <t>VÄRMLANDS LÄN</t>
        </is>
      </c>
      <c r="E111" t="inlineStr">
        <is>
          <t>MUNKFORS</t>
        </is>
      </c>
      <c r="G111" t="n">
        <v>0.6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7687-2023</t>
        </is>
      </c>
      <c r="B112" s="1" t="n">
        <v>44972</v>
      </c>
      <c r="C112" s="1" t="n">
        <v>45277</v>
      </c>
      <c r="D112" t="inlineStr">
        <is>
          <t>VÄRMLANDS LÄN</t>
        </is>
      </c>
      <c r="E112" t="inlineStr">
        <is>
          <t>MUNKFORS</t>
        </is>
      </c>
      <c r="G112" t="n">
        <v>0.4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10588-2023</t>
        </is>
      </c>
      <c r="B113" s="1" t="n">
        <v>44988</v>
      </c>
      <c r="C113" s="1" t="n">
        <v>45277</v>
      </c>
      <c r="D113" t="inlineStr">
        <is>
          <t>VÄRMLANDS LÄN</t>
        </is>
      </c>
      <c r="E113" t="inlineStr">
        <is>
          <t>MUNKFORS</t>
        </is>
      </c>
      <c r="F113" t="inlineStr">
        <is>
          <t>Bergvik skog väst AB</t>
        </is>
      </c>
      <c r="G113" t="n">
        <v>1.8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11996-2023</t>
        </is>
      </c>
      <c r="B114" s="1" t="n">
        <v>44995</v>
      </c>
      <c r="C114" s="1" t="n">
        <v>45277</v>
      </c>
      <c r="D114" t="inlineStr">
        <is>
          <t>VÄRMLANDS LÄN</t>
        </is>
      </c>
      <c r="E114" t="inlineStr">
        <is>
          <t>MUNKFORS</t>
        </is>
      </c>
      <c r="F114" t="inlineStr">
        <is>
          <t>Bergvik skog väst AB</t>
        </is>
      </c>
      <c r="G114" t="n">
        <v>3.6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12563-2023</t>
        </is>
      </c>
      <c r="B115" s="1" t="n">
        <v>45000</v>
      </c>
      <c r="C115" s="1" t="n">
        <v>45277</v>
      </c>
      <c r="D115" t="inlineStr">
        <is>
          <t>VÄRMLANDS LÄN</t>
        </is>
      </c>
      <c r="E115" t="inlineStr">
        <is>
          <t>MUNKFORS</t>
        </is>
      </c>
      <c r="F115" t="inlineStr">
        <is>
          <t>Bergvik skog väst AB</t>
        </is>
      </c>
      <c r="G115" t="n">
        <v>1.3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12588-2023</t>
        </is>
      </c>
      <c r="B116" s="1" t="n">
        <v>45000</v>
      </c>
      <c r="C116" s="1" t="n">
        <v>45277</v>
      </c>
      <c r="D116" t="inlineStr">
        <is>
          <t>VÄRMLANDS LÄN</t>
        </is>
      </c>
      <c r="E116" t="inlineStr">
        <is>
          <t>MUNKFORS</t>
        </is>
      </c>
      <c r="F116" t="inlineStr">
        <is>
          <t>Bergvik skog väst AB</t>
        </is>
      </c>
      <c r="G116" t="n">
        <v>2.5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13164-2023</t>
        </is>
      </c>
      <c r="B117" s="1" t="n">
        <v>45002</v>
      </c>
      <c r="C117" s="1" t="n">
        <v>45277</v>
      </c>
      <c r="D117" t="inlineStr">
        <is>
          <t>VÄRMLANDS LÄN</t>
        </is>
      </c>
      <c r="E117" t="inlineStr">
        <is>
          <t>MUNKFORS</t>
        </is>
      </c>
      <c r="F117" t="inlineStr">
        <is>
          <t>Bergvik skog väst AB</t>
        </is>
      </c>
      <c r="G117" t="n">
        <v>15.1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18313-2023</t>
        </is>
      </c>
      <c r="B118" s="1" t="n">
        <v>45041</v>
      </c>
      <c r="C118" s="1" t="n">
        <v>45277</v>
      </c>
      <c r="D118" t="inlineStr">
        <is>
          <t>VÄRMLANDS LÄN</t>
        </is>
      </c>
      <c r="E118" t="inlineStr">
        <is>
          <t>MUNKFORS</t>
        </is>
      </c>
      <c r="G118" t="n">
        <v>2.9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26111-2023</t>
        </is>
      </c>
      <c r="B119" s="1" t="n">
        <v>45091</v>
      </c>
      <c r="C119" s="1" t="n">
        <v>45277</v>
      </c>
      <c r="D119" t="inlineStr">
        <is>
          <t>VÄRMLANDS LÄN</t>
        </is>
      </c>
      <c r="E119" t="inlineStr">
        <is>
          <t>MUNKFORS</t>
        </is>
      </c>
      <c r="G119" t="n">
        <v>5.2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27045-2023</t>
        </is>
      </c>
      <c r="B120" s="1" t="n">
        <v>45095</v>
      </c>
      <c r="C120" s="1" t="n">
        <v>45277</v>
      </c>
      <c r="D120" t="inlineStr">
        <is>
          <t>VÄRMLANDS LÄN</t>
        </is>
      </c>
      <c r="E120" t="inlineStr">
        <is>
          <t>MUNKFORS</t>
        </is>
      </c>
      <c r="G120" t="n">
        <v>2.1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27044-2023</t>
        </is>
      </c>
      <c r="B121" s="1" t="n">
        <v>45095</v>
      </c>
      <c r="C121" s="1" t="n">
        <v>45277</v>
      </c>
      <c r="D121" t="inlineStr">
        <is>
          <t>VÄRMLANDS LÄN</t>
        </is>
      </c>
      <c r="E121" t="inlineStr">
        <is>
          <t>MUNKFORS</t>
        </is>
      </c>
      <c r="G121" t="n">
        <v>3.4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27901-2023</t>
        </is>
      </c>
      <c r="B122" s="1" t="n">
        <v>45098</v>
      </c>
      <c r="C122" s="1" t="n">
        <v>45277</v>
      </c>
      <c r="D122" t="inlineStr">
        <is>
          <t>VÄRMLANDS LÄN</t>
        </is>
      </c>
      <c r="E122" t="inlineStr">
        <is>
          <t>MUNKFORS</t>
        </is>
      </c>
      <c r="F122" t="inlineStr">
        <is>
          <t>Kyrkan</t>
        </is>
      </c>
      <c r="G122" t="n">
        <v>0.6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30995-2023</t>
        </is>
      </c>
      <c r="B123" s="1" t="n">
        <v>45113</v>
      </c>
      <c r="C123" s="1" t="n">
        <v>45277</v>
      </c>
      <c r="D123" t="inlineStr">
        <is>
          <t>VÄRMLANDS LÄN</t>
        </is>
      </c>
      <c r="E123" t="inlineStr">
        <is>
          <t>MUNKFORS</t>
        </is>
      </c>
      <c r="G123" t="n">
        <v>4.4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35489-2023</t>
        </is>
      </c>
      <c r="B124" s="1" t="n">
        <v>45146</v>
      </c>
      <c r="C124" s="1" t="n">
        <v>45277</v>
      </c>
      <c r="D124" t="inlineStr">
        <is>
          <t>VÄRMLANDS LÄN</t>
        </is>
      </c>
      <c r="E124" t="inlineStr">
        <is>
          <t>MUNKFORS</t>
        </is>
      </c>
      <c r="G124" t="n">
        <v>0.7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42637-2023</t>
        </is>
      </c>
      <c r="B125" s="1" t="n">
        <v>45181</v>
      </c>
      <c r="C125" s="1" t="n">
        <v>45277</v>
      </c>
      <c r="D125" t="inlineStr">
        <is>
          <t>VÄRMLANDS LÄN</t>
        </is>
      </c>
      <c r="E125" t="inlineStr">
        <is>
          <t>MUNKFORS</t>
        </is>
      </c>
      <c r="G125" t="n">
        <v>1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43353-2023</t>
        </is>
      </c>
      <c r="B126" s="1" t="n">
        <v>45183</v>
      </c>
      <c r="C126" s="1" t="n">
        <v>45277</v>
      </c>
      <c r="D126" t="inlineStr">
        <is>
          <t>VÄRMLANDS LÄN</t>
        </is>
      </c>
      <c r="E126" t="inlineStr">
        <is>
          <t>MUNKFORS</t>
        </is>
      </c>
      <c r="G126" t="n">
        <v>0.8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43554-2023</t>
        </is>
      </c>
      <c r="B127" s="1" t="n">
        <v>45184</v>
      </c>
      <c r="C127" s="1" t="n">
        <v>45277</v>
      </c>
      <c r="D127" t="inlineStr">
        <is>
          <t>VÄRMLANDS LÄN</t>
        </is>
      </c>
      <c r="E127" t="inlineStr">
        <is>
          <t>MUNKFORS</t>
        </is>
      </c>
      <c r="F127" t="inlineStr">
        <is>
          <t>Bergvik skog väst AB</t>
        </is>
      </c>
      <c r="G127" t="n">
        <v>2.5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43549-2023</t>
        </is>
      </c>
      <c r="B128" s="1" t="n">
        <v>45184</v>
      </c>
      <c r="C128" s="1" t="n">
        <v>45277</v>
      </c>
      <c r="D128" t="inlineStr">
        <is>
          <t>VÄRMLANDS LÄN</t>
        </is>
      </c>
      <c r="E128" t="inlineStr">
        <is>
          <t>MUNKFORS</t>
        </is>
      </c>
      <c r="F128" t="inlineStr">
        <is>
          <t>Bergvik skog väst AB</t>
        </is>
      </c>
      <c r="G128" t="n">
        <v>2.6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43643-2023</t>
        </is>
      </c>
      <c r="B129" s="1" t="n">
        <v>45186</v>
      </c>
      <c r="C129" s="1" t="n">
        <v>45277</v>
      </c>
      <c r="D129" t="inlineStr">
        <is>
          <t>VÄRMLANDS LÄN</t>
        </is>
      </c>
      <c r="E129" t="inlineStr">
        <is>
          <t>MUNKFORS</t>
        </is>
      </c>
      <c r="F129" t="inlineStr">
        <is>
          <t>Bergvik skog väst AB</t>
        </is>
      </c>
      <c r="G129" t="n">
        <v>3.4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44104-2023</t>
        </is>
      </c>
      <c r="B130" s="1" t="n">
        <v>45188</v>
      </c>
      <c r="C130" s="1" t="n">
        <v>45277</v>
      </c>
      <c r="D130" t="inlineStr">
        <is>
          <t>VÄRMLANDS LÄN</t>
        </is>
      </c>
      <c r="E130" t="inlineStr">
        <is>
          <t>MUNKFORS</t>
        </is>
      </c>
      <c r="G130" t="n">
        <v>2.1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44041-2023</t>
        </is>
      </c>
      <c r="B131" s="1" t="n">
        <v>45188</v>
      </c>
      <c r="C131" s="1" t="n">
        <v>45277</v>
      </c>
      <c r="D131" t="inlineStr">
        <is>
          <t>VÄRMLANDS LÄN</t>
        </is>
      </c>
      <c r="E131" t="inlineStr">
        <is>
          <t>MUNKFORS</t>
        </is>
      </c>
      <c r="G131" t="n">
        <v>1.9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44098-2023</t>
        </is>
      </c>
      <c r="B132" s="1" t="n">
        <v>45188</v>
      </c>
      <c r="C132" s="1" t="n">
        <v>45277</v>
      </c>
      <c r="D132" t="inlineStr">
        <is>
          <t>VÄRMLANDS LÄN</t>
        </is>
      </c>
      <c r="E132" t="inlineStr">
        <is>
          <t>MUNKFORS</t>
        </is>
      </c>
      <c r="G132" t="n">
        <v>3.6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45920-2023</t>
        </is>
      </c>
      <c r="B133" s="1" t="n">
        <v>45195</v>
      </c>
      <c r="C133" s="1" t="n">
        <v>45277</v>
      </c>
      <c r="D133" t="inlineStr">
        <is>
          <t>VÄRMLANDS LÄN</t>
        </is>
      </c>
      <c r="E133" t="inlineStr">
        <is>
          <t>MUNKFORS</t>
        </is>
      </c>
      <c r="G133" t="n">
        <v>1.4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46149-2023</t>
        </is>
      </c>
      <c r="B134" s="1" t="n">
        <v>45196</v>
      </c>
      <c r="C134" s="1" t="n">
        <v>45277</v>
      </c>
      <c r="D134" t="inlineStr">
        <is>
          <t>VÄRMLANDS LÄN</t>
        </is>
      </c>
      <c r="E134" t="inlineStr">
        <is>
          <t>MUNKFORS</t>
        </is>
      </c>
      <c r="G134" t="n">
        <v>1.2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46447-2023</t>
        </is>
      </c>
      <c r="B135" s="1" t="n">
        <v>45197</v>
      </c>
      <c r="C135" s="1" t="n">
        <v>45277</v>
      </c>
      <c r="D135" t="inlineStr">
        <is>
          <t>VÄRMLANDS LÄN</t>
        </is>
      </c>
      <c r="E135" t="inlineStr">
        <is>
          <t>MUNKFORS</t>
        </is>
      </c>
      <c r="F135" t="inlineStr">
        <is>
          <t>Bergvik skog väst AB</t>
        </is>
      </c>
      <c r="G135" t="n">
        <v>1.4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46744-2023</t>
        </is>
      </c>
      <c r="B136" s="1" t="n">
        <v>45198</v>
      </c>
      <c r="C136" s="1" t="n">
        <v>45277</v>
      </c>
      <c r="D136" t="inlineStr">
        <is>
          <t>VÄRMLANDS LÄN</t>
        </is>
      </c>
      <c r="E136" t="inlineStr">
        <is>
          <t>MUNKFORS</t>
        </is>
      </c>
      <c r="G136" t="n">
        <v>1.8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47646-2023</t>
        </is>
      </c>
      <c r="B137" s="1" t="n">
        <v>45203</v>
      </c>
      <c r="C137" s="1" t="n">
        <v>45277</v>
      </c>
      <c r="D137" t="inlineStr">
        <is>
          <t>VÄRMLANDS LÄN</t>
        </is>
      </c>
      <c r="E137" t="inlineStr">
        <is>
          <t>MUNKFORS</t>
        </is>
      </c>
      <c r="G137" t="n">
        <v>1.9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48967-2023</t>
        </is>
      </c>
      <c r="B138" s="1" t="n">
        <v>45209</v>
      </c>
      <c r="C138" s="1" t="n">
        <v>45277</v>
      </c>
      <c r="D138" t="inlineStr">
        <is>
          <t>VÄRMLANDS LÄN</t>
        </is>
      </c>
      <c r="E138" t="inlineStr">
        <is>
          <t>MUNKFORS</t>
        </is>
      </c>
      <c r="F138" t="inlineStr">
        <is>
          <t>Bergvik skog väst AB</t>
        </is>
      </c>
      <c r="G138" t="n">
        <v>8.699999999999999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49500-2023</t>
        </is>
      </c>
      <c r="B139" s="1" t="n">
        <v>45211</v>
      </c>
      <c r="C139" s="1" t="n">
        <v>45277</v>
      </c>
      <c r="D139" t="inlineStr">
        <is>
          <t>VÄRMLANDS LÄN</t>
        </is>
      </c>
      <c r="E139" t="inlineStr">
        <is>
          <t>MUNKFORS</t>
        </is>
      </c>
      <c r="G139" t="n">
        <v>0.7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50421-2023</t>
        </is>
      </c>
      <c r="B140" s="1" t="n">
        <v>45216</v>
      </c>
      <c r="C140" s="1" t="n">
        <v>45277</v>
      </c>
      <c r="D140" t="inlineStr">
        <is>
          <t>VÄRMLANDS LÄN</t>
        </is>
      </c>
      <c r="E140" t="inlineStr">
        <is>
          <t>MUNKFORS</t>
        </is>
      </c>
      <c r="G140" t="n">
        <v>1.8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50428-2023</t>
        </is>
      </c>
      <c r="B141" s="1" t="n">
        <v>45216</v>
      </c>
      <c r="C141" s="1" t="n">
        <v>45277</v>
      </c>
      <c r="D141" t="inlineStr">
        <is>
          <t>VÄRMLANDS LÄN</t>
        </is>
      </c>
      <c r="E141" t="inlineStr">
        <is>
          <t>MUNKFORS</t>
        </is>
      </c>
      <c r="G141" t="n">
        <v>1.4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50971-2023</t>
        </is>
      </c>
      <c r="B142" s="1" t="n">
        <v>45218</v>
      </c>
      <c r="C142" s="1" t="n">
        <v>45277</v>
      </c>
      <c r="D142" t="inlineStr">
        <is>
          <t>VÄRMLANDS LÄN</t>
        </is>
      </c>
      <c r="E142" t="inlineStr">
        <is>
          <t>MUNKFORS</t>
        </is>
      </c>
      <c r="G142" t="n">
        <v>4.7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54628-2023</t>
        </is>
      </c>
      <c r="B143" s="1" t="n">
        <v>45234</v>
      </c>
      <c r="C143" s="1" t="n">
        <v>45277</v>
      </c>
      <c r="D143" t="inlineStr">
        <is>
          <t>VÄRMLANDS LÄN</t>
        </is>
      </c>
      <c r="E143" t="inlineStr">
        <is>
          <t>MUNKFORS</t>
        </is>
      </c>
      <c r="G143" t="n">
        <v>3.8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56071-2023</t>
        </is>
      </c>
      <c r="B144" s="1" t="n">
        <v>45240</v>
      </c>
      <c r="C144" s="1" t="n">
        <v>45277</v>
      </c>
      <c r="D144" t="inlineStr">
        <is>
          <t>VÄRMLANDS LÄN</t>
        </is>
      </c>
      <c r="E144" t="inlineStr">
        <is>
          <t>MUNKFORS</t>
        </is>
      </c>
      <c r="F144" t="inlineStr">
        <is>
          <t>Bergvik skog väst AB</t>
        </is>
      </c>
      <c r="G144" t="n">
        <v>4.5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58315-2023</t>
        </is>
      </c>
      <c r="B145" s="1" t="n">
        <v>45250</v>
      </c>
      <c r="C145" s="1" t="n">
        <v>45277</v>
      </c>
      <c r="D145" t="inlineStr">
        <is>
          <t>VÄRMLANDS LÄN</t>
        </is>
      </c>
      <c r="E145" t="inlineStr">
        <is>
          <t>MUNKFORS</t>
        </is>
      </c>
      <c r="F145" t="inlineStr">
        <is>
          <t>Kyrkan</t>
        </is>
      </c>
      <c r="G145" t="n">
        <v>2.2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59132-2023</t>
        </is>
      </c>
      <c r="B146" s="1" t="n">
        <v>45251</v>
      </c>
      <c r="C146" s="1" t="n">
        <v>45277</v>
      </c>
      <c r="D146" t="inlineStr">
        <is>
          <t>VÄRMLANDS LÄN</t>
        </is>
      </c>
      <c r="E146" t="inlineStr">
        <is>
          <t>MUNKFORS</t>
        </is>
      </c>
      <c r="G146" t="n">
        <v>1.8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59141-2023</t>
        </is>
      </c>
      <c r="B147" s="1" t="n">
        <v>45251</v>
      </c>
      <c r="C147" s="1" t="n">
        <v>45277</v>
      </c>
      <c r="D147" t="inlineStr">
        <is>
          <t>VÄRMLANDS LÄN</t>
        </is>
      </c>
      <c r="E147" t="inlineStr">
        <is>
          <t>MUNKFORS</t>
        </is>
      </c>
      <c r="G147" t="n">
        <v>1.4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59128-2023</t>
        </is>
      </c>
      <c r="B148" s="1" t="n">
        <v>45251</v>
      </c>
      <c r="C148" s="1" t="n">
        <v>45277</v>
      </c>
      <c r="D148" t="inlineStr">
        <is>
          <t>VÄRMLANDS LÄN</t>
        </is>
      </c>
      <c r="E148" t="inlineStr">
        <is>
          <t>MUNKFORS</t>
        </is>
      </c>
      <c r="G148" t="n">
        <v>1.3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59137-2023</t>
        </is>
      </c>
      <c r="B149" s="1" t="n">
        <v>45251</v>
      </c>
      <c r="C149" s="1" t="n">
        <v>45277</v>
      </c>
      <c r="D149" t="inlineStr">
        <is>
          <t>VÄRMLANDS LÄN</t>
        </is>
      </c>
      <c r="E149" t="inlineStr">
        <is>
          <t>MUNKFORS</t>
        </is>
      </c>
      <c r="G149" t="n">
        <v>1.3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59145-2023</t>
        </is>
      </c>
      <c r="B150" s="1" t="n">
        <v>45251</v>
      </c>
      <c r="C150" s="1" t="n">
        <v>45277</v>
      </c>
      <c r="D150" t="inlineStr">
        <is>
          <t>VÄRMLANDS LÄN</t>
        </is>
      </c>
      <c r="E150" t="inlineStr">
        <is>
          <t>MUNKFORS</t>
        </is>
      </c>
      <c r="G150" t="n">
        <v>7.1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59146-2023</t>
        </is>
      </c>
      <c r="B151" s="1" t="n">
        <v>45251</v>
      </c>
      <c r="C151" s="1" t="n">
        <v>45277</v>
      </c>
      <c r="D151" t="inlineStr">
        <is>
          <t>VÄRMLANDS LÄN</t>
        </is>
      </c>
      <c r="E151" t="inlineStr">
        <is>
          <t>MUNKFORS</t>
        </is>
      </c>
      <c r="G151" t="n">
        <v>3.4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60728-2023</t>
        </is>
      </c>
      <c r="B152" s="1" t="n">
        <v>45260</v>
      </c>
      <c r="C152" s="1" t="n">
        <v>45277</v>
      </c>
      <c r="D152" t="inlineStr">
        <is>
          <t>VÄRMLANDS LÄN</t>
        </is>
      </c>
      <c r="E152" t="inlineStr">
        <is>
          <t>MUNKFORS</t>
        </is>
      </c>
      <c r="G152" t="n">
        <v>1.6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>
      <c r="A153" t="inlineStr">
        <is>
          <t>A 62977-2023</t>
        </is>
      </c>
      <c r="B153" s="1" t="n">
        <v>45272</v>
      </c>
      <c r="C153" s="1" t="n">
        <v>45277</v>
      </c>
      <c r="D153" t="inlineStr">
        <is>
          <t>VÄRMLANDS LÄN</t>
        </is>
      </c>
      <c r="E153" t="inlineStr">
        <is>
          <t>MUNKFORS</t>
        </is>
      </c>
      <c r="G153" t="n">
        <v>3.4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2023-12-17T10:02:51Z</dcterms:created>
  <dcterms:modified xmlns:dcterms="http://purl.org/dc/terms/" xmlns:xsi="http://www.w3.org/2001/XMLSchema-instance" xsi:type="dcterms:W3CDTF">2023-12-17T10:02:51Z</dcterms:modified>
</cp:coreProperties>
</file>