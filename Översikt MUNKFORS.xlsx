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46216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s="2" t="inlineStr">
        <is>
          <t>Tofsmes
Grönsiska
Kungsfågel
Svartvit flugsnappare</t>
        </is>
      </c>
      <c r="V2">
        <f>HYPERLINK("https://klasma.github.io/Logging_1762/artfynd/A 449-2022 artfynd.xlsx", "A 449-2022")</f>
        <v/>
      </c>
      <c r="W2">
        <f>HYPERLINK("https://klasma.github.io/Logging_1762/kartor/A 449-2022 karta.png", "A 449-2022")</f>
        <v/>
      </c>
      <c r="Y2">
        <f>HYPERLINK("https://klasma.github.io/Logging_1762/klagomål/A 449-2022 FSC-klagomål.docx", "A 449-2022")</f>
        <v/>
      </c>
      <c r="Z2">
        <f>HYPERLINK("https://klasma.github.io/Logging_1762/klagomålsmail/A 449-2022 FSC-klagomål mail.docx", "A 449-2022")</f>
        <v/>
      </c>
      <c r="AA2">
        <f>HYPERLINK("https://klasma.github.io/Logging_1762/tillsyn/A 449-2022 tillsynsbegäran.docx", "A 449-2022")</f>
        <v/>
      </c>
      <c r="AB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46216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s="2" t="inlineStr">
        <is>
          <t>Daggvide
Bågsäv</t>
        </is>
      </c>
      <c r="V3">
        <f>HYPERLINK("https://klasma.github.io/Logging_1762/artfynd/A 44111-2023 artfynd.xlsx", "A 44111-2023")</f>
        <v/>
      </c>
      <c r="W3">
        <f>HYPERLINK("https://klasma.github.io/Logging_1762/kartor/A 44111-2023 karta.png", "A 44111-2023")</f>
        <v/>
      </c>
      <c r="Y3">
        <f>HYPERLINK("https://klasma.github.io/Logging_1762/klagomål/A 44111-2023 FSC-klagomål.docx", "A 44111-2023")</f>
        <v/>
      </c>
      <c r="Z3">
        <f>HYPERLINK("https://klasma.github.io/Logging_1762/klagomålsmail/A 44111-2023 FSC-klagomål mail.docx", "A 44111-2023")</f>
        <v/>
      </c>
      <c r="AA3">
        <f>HYPERLINK("https://klasma.github.io/Logging_1762/tillsyn/A 44111-2023 tillsynsbegäran.docx", "A 44111-2023")</f>
        <v/>
      </c>
      <c r="AB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46216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46216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46216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46216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46216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46216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46216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46216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46216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46216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46216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46216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46216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46216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46447-2023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46216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46216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60794-2024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45644</v>
      </c>
      <c r="E20" s="1" t="n">
        <v>46216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27162-2025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46216</v>
      </c>
      <c r="F21" t="inlineStr">
        <is>
          <t>VÄRMLANDS LÄN</t>
        </is>
      </c>
      <c r="G21" t="inlineStr">
        <is>
          <t>MUNKFORS</t>
        </is>
      </c>
      <c r="H21" t="inlineStr">
        <is>
          <t>Kommuner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12588-2023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45000</v>
      </c>
      <c r="E22" s="1" t="n">
        <v>46216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30207-2025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46216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2668-2026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46216</v>
      </c>
      <c r="F24" t="inlineStr">
        <is>
          <t>VÄRMLANDS LÄN</t>
        </is>
      </c>
      <c r="G24" t="inlineStr">
        <is>
          <t>MUNKFORS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46216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33908-2022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46216</v>
      </c>
      <c r="F26" t="inlineStr">
        <is>
          <t>VÄRMLANDS LÄN</t>
        </is>
      </c>
      <c r="G26" t="inlineStr">
        <is>
          <t>MUNKFORS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12563-2023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46216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45153-2025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46216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46216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46216</v>
      </c>
      <c r="F30" t="inlineStr">
        <is>
          <t>VÄRMLANDS LÄN</t>
        </is>
      </c>
      <c r="G30" t="inlineStr">
        <is>
          <t>MUNKFORS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50428-2023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45216</v>
      </c>
      <c r="E31" s="1" t="n">
        <v>46216</v>
      </c>
      <c r="F31" t="inlineStr">
        <is>
          <t>VÄRMLANDS LÄN</t>
        </is>
      </c>
      <c r="G31" t="inlineStr">
        <is>
          <t>MUNKFORS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46216</v>
      </c>
      <c r="F32" t="inlineStr">
        <is>
          <t>VÄRMLANDS LÄN</t>
        </is>
      </c>
      <c r="G32" t="inlineStr">
        <is>
          <t>MUNKFORS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45958</v>
      </c>
      <c r="E33" s="1" t="n">
        <v>46216</v>
      </c>
      <c r="F33" t="inlineStr">
        <is>
          <t>VÄRMLANDS LÄN</t>
        </is>
      </c>
      <c r="G33" t="inlineStr">
        <is>
          <t>MUNKFORS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53524-2025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45960</v>
      </c>
      <c r="E34" s="1" t="n">
        <v>46216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55254-2025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46216</v>
      </c>
      <c r="F35" t="inlineStr">
        <is>
          <t>VÄRMLANDS LÄN</t>
        </is>
      </c>
      <c r="G35" t="inlineStr">
        <is>
          <t>MUNKFORS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46216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56717-2025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46216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22225-2024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45446</v>
      </c>
      <c r="E38" s="1" t="n">
        <v>46216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44104-2023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46216</v>
      </c>
      <c r="F39" t="inlineStr">
        <is>
          <t>VÄRMLANDS LÄN</t>
        </is>
      </c>
      <c r="G39" t="inlineStr">
        <is>
          <t>MUNKFORS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49500-2023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45211</v>
      </c>
      <c r="E40" s="1" t="n">
        <v>46216</v>
      </c>
      <c r="F40" t="inlineStr">
        <is>
          <t>VÄRMLANDS LÄN</t>
        </is>
      </c>
      <c r="G40" t="inlineStr">
        <is>
          <t>MUNKFORS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57387-2025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46216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62977-2023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45272</v>
      </c>
      <c r="E42" s="1" t="n">
        <v>46216</v>
      </c>
      <c r="F42" t="inlineStr">
        <is>
          <t>VÄRMLANDS LÄN</t>
        </is>
      </c>
      <c r="G42" t="inlineStr">
        <is>
          <t>MUNKFORS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22757-2024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46216</v>
      </c>
      <c r="F43" t="inlineStr">
        <is>
          <t>VÄRMLANDS LÄN</t>
        </is>
      </c>
      <c r="G43" t="inlineStr">
        <is>
          <t>MUNKFORS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45679</v>
      </c>
      <c r="E44" s="1" t="n">
        <v>46216</v>
      </c>
      <c r="F44" t="inlineStr">
        <is>
          <t>VÄRMLANDS LÄN</t>
        </is>
      </c>
      <c r="G44" t="inlineStr">
        <is>
          <t>MUNKFORS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46216</v>
      </c>
      <c r="F45" t="inlineStr">
        <is>
          <t>VÄRMLANDS LÄN</t>
        </is>
      </c>
      <c r="G45" t="inlineStr">
        <is>
          <t>MUNKFORS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7688-2023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46216</v>
      </c>
      <c r="F46" t="inlineStr">
        <is>
          <t>VÄRMLANDS LÄN</t>
        </is>
      </c>
      <c r="G46" t="inlineStr">
        <is>
          <t>MUNKFORS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58050-2024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46216</v>
      </c>
      <c r="F47" t="inlineStr">
        <is>
          <t>VÄRMLANDS LÄN</t>
        </is>
      </c>
      <c r="G47" t="inlineStr">
        <is>
          <t>MUNKFORS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42079-2021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44426</v>
      </c>
      <c r="E48" s="1" t="n">
        <v>46216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46216</v>
      </c>
      <c r="F49" t="inlineStr">
        <is>
          <t>VÄRMLANDS LÄN</t>
        </is>
      </c>
      <c r="G49" t="inlineStr">
        <is>
          <t>MUNKFORS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42637-2023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46216</v>
      </c>
      <c r="F50" t="inlineStr">
        <is>
          <t>VÄRMLANDS LÄN</t>
        </is>
      </c>
      <c r="G50" t="inlineStr">
        <is>
          <t>MUNKFORS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47625-2024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45588</v>
      </c>
      <c r="E51" s="1" t="n">
        <v>46216</v>
      </c>
      <c r="F51" t="inlineStr">
        <is>
          <t>VÄRMLANDS LÄN</t>
        </is>
      </c>
      <c r="G51" t="inlineStr">
        <is>
          <t>MUNKFORS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32389-2022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44782</v>
      </c>
      <c r="E52" s="1" t="n">
        <v>46216</v>
      </c>
      <c r="F52" t="inlineStr">
        <is>
          <t>VÄRMLANDS LÄN</t>
        </is>
      </c>
      <c r="G52" t="inlineStr">
        <is>
          <t>MUNKFORS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19207-2026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46216</v>
      </c>
      <c r="F53" t="inlineStr">
        <is>
          <t>VÄRMLANDS LÄN</t>
        </is>
      </c>
      <c r="G53" t="inlineStr">
        <is>
          <t>MUNKFORS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19208-2026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46216</v>
      </c>
      <c r="F54" t="inlineStr">
        <is>
          <t>VÄRMLANDS LÄN</t>
        </is>
      </c>
      <c r="G54" t="inlineStr">
        <is>
          <t>MUNKFORS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24567-2022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46216</v>
      </c>
      <c r="F55" t="inlineStr">
        <is>
          <t>VÄRMLANDS LÄN</t>
        </is>
      </c>
      <c r="G55" t="inlineStr">
        <is>
          <t>MUNKFORS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19172-2026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46216</v>
      </c>
      <c r="F56" t="inlineStr">
        <is>
          <t>VÄRMLANDS LÄN</t>
        </is>
      </c>
      <c r="G56" t="inlineStr">
        <is>
          <t>MUNKFORS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55664-2021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46216</v>
      </c>
      <c r="F57" t="inlineStr">
        <is>
          <t>VÄRMLANDS LÄN</t>
        </is>
      </c>
      <c r="G57" t="inlineStr">
        <is>
          <t>MUNKFORS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9766-2025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45716</v>
      </c>
      <c r="E58" s="1" t="n">
        <v>46216</v>
      </c>
      <c r="F58" t="inlineStr">
        <is>
          <t>VÄRMLANDS LÄN</t>
        </is>
      </c>
      <c r="G58" t="inlineStr">
        <is>
          <t>MUNKFORS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30160-2025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46216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65754-2021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44516</v>
      </c>
      <c r="E60" s="1" t="n">
        <v>46216</v>
      </c>
      <c r="F60" t="inlineStr">
        <is>
          <t>VÄRMLANDS LÄN</t>
        </is>
      </c>
      <c r="G60" t="inlineStr">
        <is>
          <t>MUNKFORS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46216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46216</v>
      </c>
      <c r="F62" t="inlineStr">
        <is>
          <t>VÄRMLANDS LÄN</t>
        </is>
      </c>
      <c r="G62" t="inlineStr">
        <is>
          <t>MUNKFORS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46216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44972</v>
      </c>
      <c r="E64" s="1" t="n">
        <v>46216</v>
      </c>
      <c r="F64" t="inlineStr">
        <is>
          <t>VÄRMLANDS LÄN</t>
        </is>
      </c>
      <c r="G64" t="inlineStr">
        <is>
          <t>MUNKFORS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27069-2024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45471</v>
      </c>
      <c r="E65" s="1" t="n">
        <v>46216</v>
      </c>
      <c r="F65" t="inlineStr">
        <is>
          <t>VÄRMLANDS LÄN</t>
        </is>
      </c>
      <c r="G65" t="inlineStr">
        <is>
          <t>MUNKFORS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22096-2026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46216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59132-2023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46216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13431-2024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45387</v>
      </c>
      <c r="E68" s="1" t="n">
        <v>46216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59146-2023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46216</v>
      </c>
      <c r="F69" t="inlineStr">
        <is>
          <t>VÄRMLANDS LÄN</t>
        </is>
      </c>
      <c r="G69" t="inlineStr">
        <is>
          <t>MUNKFORS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23012-2026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46216</v>
      </c>
      <c r="F70" t="inlineStr">
        <is>
          <t>VÄRMLANDS LÄN</t>
        </is>
      </c>
      <c r="G70" t="inlineStr">
        <is>
          <t>MUNKFORS</t>
        </is>
      </c>
      <c r="H70" t="inlineStr">
        <is>
          <t>Kyrkan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44951</v>
      </c>
      <c r="E71" s="1" t="n">
        <v>46216</v>
      </c>
      <c r="F71" t="inlineStr">
        <is>
          <t>VÄRMLANDS LÄN</t>
        </is>
      </c>
      <c r="G71" t="inlineStr">
        <is>
          <t>MUNKFORS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23212-2026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46216</v>
      </c>
      <c r="F72" t="inlineStr">
        <is>
          <t>VÄRMLANDS LÄN</t>
        </is>
      </c>
      <c r="G72" t="inlineStr">
        <is>
          <t>MUNKFORS</t>
        </is>
      </c>
      <c r="H72" t="inlineStr">
        <is>
          <t>Kyrkan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19994-2025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46216</v>
      </c>
      <c r="F73" t="inlineStr">
        <is>
          <t>VÄRMLANDS LÄN</t>
        </is>
      </c>
      <c r="G73" t="inlineStr">
        <is>
          <t>MUNKFORS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29951-2026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46216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29985-2026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46216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29992-2026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46216</v>
      </c>
      <c r="F76" t="inlineStr">
        <is>
          <t>VÄRMLANDS LÄN</t>
        </is>
      </c>
      <c r="G76" t="inlineStr">
        <is>
          <t>MUNKFORS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23204-2026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46216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29672-2026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46204</v>
      </c>
      <c r="E78" s="1" t="n">
        <v>46216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46216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54628-2023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45234</v>
      </c>
      <c r="E80" s="1" t="n">
        <v>46216</v>
      </c>
      <c r="F80" t="inlineStr">
        <is>
          <t>VÄRMLANDS LÄN</t>
        </is>
      </c>
      <c r="G80" t="inlineStr">
        <is>
          <t>MUNKFORS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29908-2026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46216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29609-2026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46204</v>
      </c>
      <c r="E82" s="1" t="n">
        <v>46216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9.4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44967</v>
      </c>
      <c r="E83" s="1" t="n">
        <v>46216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46216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46216</v>
      </c>
      <c r="F85" t="inlineStr">
        <is>
          <t>VÄRMLANDS LÄN</t>
        </is>
      </c>
      <c r="G85" t="inlineStr">
        <is>
          <t>MUNKFORS</t>
        </is>
      </c>
      <c r="H85" t="inlineStr">
        <is>
          <t>Kommuner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12114-2022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46216</v>
      </c>
      <c r="F86" t="inlineStr">
        <is>
          <t>VÄRMLANDS LÄN</t>
        </is>
      </c>
      <c r="G86" t="inlineStr">
        <is>
          <t>MUNKFORS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46216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46216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46216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46216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S 932-2022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46216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46216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46216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S 923-2022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46216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46216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46216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2026-07-13T14:51:36Z</dcterms:created>
  <dcterms:modified xmlns:dcterms="http://purl.org/dc/terms/" xmlns:xsi="http://www.w3.org/2001/XMLSchema-instance" xsi:type="dcterms:W3CDTF">2026-07-13T14:51:36Z</dcterms:modified>
</cp:coreProperties>
</file>