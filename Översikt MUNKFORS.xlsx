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46300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46300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46300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S 13-2026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46300</v>
      </c>
      <c r="F5" t="inlineStr">
        <is>
          <t>VÄRMLANDS LÄN</t>
        </is>
      </c>
      <c r="G5" t="inlineStr">
        <is>
          <t>MUNKFORS</t>
        </is>
      </c>
      <c r="H5" t="inlineStr">
        <is>
          <t>Bergvik skog väst AB</t>
        </is>
      </c>
      <c r="I5" t="n">
        <v>63.5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Fläcknycklar</t>
        </is>
      </c>
      <c r="W5">
        <f>HYPERLINK("https://klasma.github.io/Logging_1762/artfynd/S 13-2026 artfynd.xlsx", "S 13-2026")</f>
        <v/>
      </c>
      <c r="X5">
        <f>HYPERLINK("https://klasma.github.io/Logging_1762/kartor/S 13-2026 karta.png", "S 13-2026")</f>
        <v/>
      </c>
      <c r="Y5">
        <f>HYPERLINK("https://klasma.github.io/Logging_1762/kartor_geotiff/S 13-2026 georefererad karta.tif", "S 13-2026")</f>
        <v/>
      </c>
      <c r="AA5">
        <f>HYPERLINK("https://klasma.github.io/Logging_1762/klagomål/S 13-2026 FSC-klagomål.docx", "S 13-2026")</f>
        <v/>
      </c>
      <c r="AB5">
        <f>HYPERLINK("https://klasma.github.io/Logging_1762/klagomålsmail/S 13-2026 FSC-klagomål mail.docx", "S 13-2026")</f>
        <v/>
      </c>
      <c r="AC5">
        <f>HYPERLINK("https://klasma.github.io/Logging_1762/tillsyn/S 13-2026 tillsynsbegäran.docx", "S 13-2026")</f>
        <v/>
      </c>
      <c r="AD5">
        <f>HYPERLINK("https://klasma.github.io/Logging_1762/tillsynsmail/S 13-2026 tillsynsbegäran mail.docx", "S 13-2026")</f>
        <v/>
      </c>
    </row>
    <row r="6" ht="15" customHeight="1">
      <c r="A6" t="inlineStr">
        <is>
          <t>A 28316-2022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44747</v>
      </c>
      <c r="E6" s="1" t="n">
        <v>46300</v>
      </c>
      <c r="F6" t="inlineStr">
        <is>
          <t>VÄRMLANDS LÄN</t>
        </is>
      </c>
      <c r="G6" t="inlineStr">
        <is>
          <t>MUNKFORS</t>
        </is>
      </c>
      <c r="I6" t="n">
        <v>2.2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46300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46300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46300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46300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46300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46300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46300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46300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59128-2023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45251</v>
      </c>
      <c r="E15" s="1" t="n">
        <v>46300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59137-2023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46300</v>
      </c>
      <c r="F16" t="inlineStr">
        <is>
          <t>VÄRMLANDS LÄN</t>
        </is>
      </c>
      <c r="G16" t="inlineStr">
        <is>
          <t>MUNKFORS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46447-2023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45197</v>
      </c>
      <c r="E17" s="1" t="n">
        <v>46300</v>
      </c>
      <c r="F17" t="inlineStr">
        <is>
          <t>VÄRMLANDS LÄN</t>
        </is>
      </c>
      <c r="G17" t="inlineStr">
        <is>
          <t>MUNKFORS</t>
        </is>
      </c>
      <c r="H17" t="inlineStr">
        <is>
          <t>Bergvik skog väst AB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41967-2025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45903</v>
      </c>
      <c r="E18" s="1" t="n">
        <v>46300</v>
      </c>
      <c r="F18" t="inlineStr">
        <is>
          <t>VÄRMLANDS LÄN</t>
        </is>
      </c>
      <c r="G18" t="inlineStr">
        <is>
          <t>MUNKFORS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4156-2026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46044</v>
      </c>
      <c r="E19" s="1" t="n">
        <v>46300</v>
      </c>
      <c r="F19" t="inlineStr">
        <is>
          <t>VÄRMLANDS LÄN</t>
        </is>
      </c>
      <c r="G19" t="inlineStr">
        <is>
          <t>MUNKFORS</t>
        </is>
      </c>
      <c r="I19" t="n">
        <v>4.8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45153-2025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45919</v>
      </c>
      <c r="E20" s="1" t="n">
        <v>46300</v>
      </c>
      <c r="F20" t="inlineStr">
        <is>
          <t>VÄRMLANDS LÄN</t>
        </is>
      </c>
      <c r="G20" t="inlineStr">
        <is>
          <t>MUNKFORS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46577-2025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45926</v>
      </c>
      <c r="E21" s="1" t="n">
        <v>46300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27045-2023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45095</v>
      </c>
      <c r="E22" s="1" t="n">
        <v>46300</v>
      </c>
      <c r="F22" t="inlineStr">
        <is>
          <t>VÄRMLANDS LÄN</t>
        </is>
      </c>
      <c r="G22" t="inlineStr">
        <is>
          <t>MUNKFORS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12588-2023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45000</v>
      </c>
      <c r="E23" s="1" t="n">
        <v>46300</v>
      </c>
      <c r="F23" t="inlineStr">
        <is>
          <t>VÄRMLANDS LÄN</t>
        </is>
      </c>
      <c r="G23" t="inlineStr">
        <is>
          <t>MUNKFORS</t>
        </is>
      </c>
      <c r="H23" t="inlineStr">
        <is>
          <t>Bergvik skog väst AB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60794-2024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45644</v>
      </c>
      <c r="E24" s="1" t="n">
        <v>46300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27162-2025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46300</v>
      </c>
      <c r="F25" t="inlineStr">
        <is>
          <t>VÄRMLANDS LÄN</t>
        </is>
      </c>
      <c r="G25" t="inlineStr">
        <is>
          <t>MUNKFORS</t>
        </is>
      </c>
      <c r="H25" t="inlineStr">
        <is>
          <t>Kommuner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53284-2025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46300</v>
      </c>
      <c r="F26" t="inlineStr">
        <is>
          <t>VÄRMLANDS LÄN</t>
        </is>
      </c>
      <c r="G26" t="inlineStr">
        <is>
          <t>MUNKFORS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46300</v>
      </c>
      <c r="F27" t="inlineStr">
        <is>
          <t>VÄRMLANDS LÄN</t>
        </is>
      </c>
      <c r="G27" t="inlineStr">
        <is>
          <t>MUNKFORS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53524-2025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45960</v>
      </c>
      <c r="E28" s="1" t="n">
        <v>46300</v>
      </c>
      <c r="F28" t="inlineStr">
        <is>
          <t>VÄRMLANDS LÄN</t>
        </is>
      </c>
      <c r="G28" t="inlineStr">
        <is>
          <t>MUNKFORS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12563-2023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45000</v>
      </c>
      <c r="E29" s="1" t="n">
        <v>46300</v>
      </c>
      <c r="F29" t="inlineStr">
        <is>
          <t>VÄRMLANDS LÄN</t>
        </is>
      </c>
      <c r="G29" t="inlineStr">
        <is>
          <t>MUNKFORS</t>
        </is>
      </c>
      <c r="H29" t="inlineStr">
        <is>
          <t>Bergvik skog väst AB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55254-2025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46300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56023-2025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45973</v>
      </c>
      <c r="E31" s="1" t="n">
        <v>46300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7683-2023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44972</v>
      </c>
      <c r="E32" s="1" t="n">
        <v>46300</v>
      </c>
      <c r="F32" t="inlineStr">
        <is>
          <t>VÄRMLANDS LÄN</t>
        </is>
      </c>
      <c r="G32" t="inlineStr">
        <is>
          <t>MUNKFORS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56717-2025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46300</v>
      </c>
      <c r="F33" t="inlineStr">
        <is>
          <t>VÄRMLANDS LÄN</t>
        </is>
      </c>
      <c r="G33" t="inlineStr">
        <is>
          <t>MUNKFORS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57387-2025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46300</v>
      </c>
      <c r="F34" t="inlineStr">
        <is>
          <t>VÄRMLANDS LÄN</t>
        </is>
      </c>
      <c r="G34" t="inlineStr">
        <is>
          <t>MUNKFORS</t>
        </is>
      </c>
      <c r="H34" t="inlineStr">
        <is>
          <t>Kyrkan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45216</v>
      </c>
      <c r="E35" s="1" t="n">
        <v>46300</v>
      </c>
      <c r="F35" t="inlineStr">
        <is>
          <t>VÄRMLANDS LÄN</t>
        </is>
      </c>
      <c r="G35" t="inlineStr">
        <is>
          <t>MUNKFORS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30207-2025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46300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19207-2026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46132</v>
      </c>
      <c r="E37" s="1" t="n">
        <v>46300</v>
      </c>
      <c r="F37" t="inlineStr">
        <is>
          <t>VÄRMLANDS LÄN</t>
        </is>
      </c>
      <c r="G37" t="inlineStr">
        <is>
          <t>MUNKFORS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19208-2026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46132</v>
      </c>
      <c r="E38" s="1" t="n">
        <v>46300</v>
      </c>
      <c r="F38" t="inlineStr">
        <is>
          <t>VÄRMLANDS LÄN</t>
        </is>
      </c>
      <c r="G38" t="inlineStr">
        <is>
          <t>MUNKFORS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19172-2026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46132</v>
      </c>
      <c r="E39" s="1" t="n">
        <v>46300</v>
      </c>
      <c r="F39" t="inlineStr">
        <is>
          <t>VÄRMLANDS LÄN</t>
        </is>
      </c>
      <c r="G39" t="inlineStr">
        <is>
          <t>MUNKFORS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9766-2025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46300</v>
      </c>
      <c r="F40" t="inlineStr">
        <is>
          <t>VÄRMLANDS LÄN</t>
        </is>
      </c>
      <c r="G40" t="inlineStr">
        <is>
          <t>MUNKFORS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22225-2024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45446</v>
      </c>
      <c r="E41" s="1" t="n">
        <v>46300</v>
      </c>
      <c r="F41" t="inlineStr">
        <is>
          <t>VÄRMLANDS LÄN</t>
        </is>
      </c>
      <c r="G41" t="inlineStr">
        <is>
          <t>MUNKFORS</t>
        </is>
      </c>
      <c r="H41" t="inlineStr">
        <is>
          <t>Bergvik skog väst AB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44104-2023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46300</v>
      </c>
      <c r="F42" t="inlineStr">
        <is>
          <t>VÄRMLANDS LÄN</t>
        </is>
      </c>
      <c r="G42" t="inlineStr">
        <is>
          <t>MUNKFORS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49500-2023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45211</v>
      </c>
      <c r="E43" s="1" t="n">
        <v>46300</v>
      </c>
      <c r="F43" t="inlineStr">
        <is>
          <t>VÄRMLANDS LÄN</t>
        </is>
      </c>
      <c r="G43" t="inlineStr">
        <is>
          <t>MUNKFORS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46300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62977-2023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45272</v>
      </c>
      <c r="E45" s="1" t="n">
        <v>46300</v>
      </c>
      <c r="F45" t="inlineStr">
        <is>
          <t>VÄRMLANDS LÄN</t>
        </is>
      </c>
      <c r="G45" t="inlineStr">
        <is>
          <t>MUNKFORS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22757-2024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46300</v>
      </c>
      <c r="F46" t="inlineStr">
        <is>
          <t>VÄRMLANDS LÄN</t>
        </is>
      </c>
      <c r="G46" t="inlineStr">
        <is>
          <t>MUNKFORS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65754-2021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44516</v>
      </c>
      <c r="E47" s="1" t="n">
        <v>46300</v>
      </c>
      <c r="F47" t="inlineStr">
        <is>
          <t>VÄRMLANDS LÄN</t>
        </is>
      </c>
      <c r="G47" t="inlineStr">
        <is>
          <t>MUNKFORS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45679</v>
      </c>
      <c r="E48" s="1" t="n">
        <v>46300</v>
      </c>
      <c r="F48" t="inlineStr">
        <is>
          <t>VÄRMLANDS LÄN</t>
        </is>
      </c>
      <c r="G48" t="inlineStr">
        <is>
          <t>MUNKFORS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38238-2022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46300</v>
      </c>
      <c r="F49" t="inlineStr">
        <is>
          <t>VÄRMLANDS LÄN</t>
        </is>
      </c>
      <c r="G49" t="inlineStr">
        <is>
          <t>MUNKFORS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7688-2023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44972</v>
      </c>
      <c r="E50" s="1" t="n">
        <v>46300</v>
      </c>
      <c r="F50" t="inlineStr">
        <is>
          <t>VÄRMLANDS LÄN</t>
        </is>
      </c>
      <c r="G50" t="inlineStr">
        <is>
          <t>MUNKFORS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22096-2026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46153</v>
      </c>
      <c r="E51" s="1" t="n">
        <v>46300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8.5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58050-2024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45631</v>
      </c>
      <c r="E52" s="1" t="n">
        <v>46300</v>
      </c>
      <c r="F52" t="inlineStr">
        <is>
          <t>VÄRMLANDS LÄN</t>
        </is>
      </c>
      <c r="G52" t="inlineStr">
        <is>
          <t>MUNKFORS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46161</v>
      </c>
      <c r="E53" s="1" t="n">
        <v>46300</v>
      </c>
      <c r="F53" t="inlineStr">
        <is>
          <t>VÄRMLANDS LÄN</t>
        </is>
      </c>
      <c r="G53" t="inlineStr">
        <is>
          <t>MUNKFORS</t>
        </is>
      </c>
      <c r="H53" t="inlineStr">
        <is>
          <t>Kyrkan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46162</v>
      </c>
      <c r="E54" s="1" t="n">
        <v>46300</v>
      </c>
      <c r="F54" t="inlineStr">
        <is>
          <t>VÄRMLANDS LÄN</t>
        </is>
      </c>
      <c r="G54" t="inlineStr">
        <is>
          <t>MUNKFORS</t>
        </is>
      </c>
      <c r="H54" t="inlineStr">
        <is>
          <t>Kyrkan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23204-2026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46162</v>
      </c>
      <c r="E55" s="1" t="n">
        <v>46300</v>
      </c>
      <c r="F55" t="inlineStr">
        <is>
          <t>VÄRMLANDS LÄN</t>
        </is>
      </c>
      <c r="G55" t="inlineStr">
        <is>
          <t>MUNKFORS</t>
        </is>
      </c>
      <c r="H55" t="inlineStr">
        <is>
          <t>Kyrkan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45282</v>
      </c>
      <c r="E56" s="1" t="n">
        <v>46300</v>
      </c>
      <c r="F56" t="inlineStr">
        <is>
          <t>VÄRMLANDS LÄN</t>
        </is>
      </c>
      <c r="G56" t="inlineStr">
        <is>
          <t>MUNKFORS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42637-2023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45181</v>
      </c>
      <c r="E57" s="1" t="n">
        <v>46300</v>
      </c>
      <c r="F57" t="inlineStr">
        <is>
          <t>VÄRMLANDS LÄN</t>
        </is>
      </c>
      <c r="G57" t="inlineStr">
        <is>
          <t>MUNKFORS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47625-2024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46300</v>
      </c>
      <c r="F58" t="inlineStr">
        <is>
          <t>VÄRMLANDS LÄN</t>
        </is>
      </c>
      <c r="G58" t="inlineStr">
        <is>
          <t>MUNKFORS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44782</v>
      </c>
      <c r="E59" s="1" t="n">
        <v>46300</v>
      </c>
      <c r="F59" t="inlineStr">
        <is>
          <t>VÄRMLANDS LÄN</t>
        </is>
      </c>
      <c r="G59" t="inlineStr">
        <is>
          <t>MUNKFORS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46300</v>
      </c>
      <c r="F60" t="inlineStr">
        <is>
          <t>VÄRMLANDS LÄN</t>
        </is>
      </c>
      <c r="G60" t="inlineStr">
        <is>
          <t>MUNKFORS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55664-2021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44476</v>
      </c>
      <c r="E61" s="1" t="n">
        <v>46300</v>
      </c>
      <c r="F61" t="inlineStr">
        <is>
          <t>VÄRMLANDS LÄN</t>
        </is>
      </c>
      <c r="G61" t="inlineStr">
        <is>
          <t>MUNKFORS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29609-2026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46204</v>
      </c>
      <c r="E62" s="1" t="n">
        <v>46300</v>
      </c>
      <c r="F62" t="inlineStr">
        <is>
          <t>VÄRMLANDS LÄN</t>
        </is>
      </c>
      <c r="G62" t="inlineStr">
        <is>
          <t>MUNKFORS</t>
        </is>
      </c>
      <c r="H62" t="inlineStr">
        <is>
          <t>Bergvik skog väst AB</t>
        </is>
      </c>
      <c r="I62" t="n">
        <v>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46204</v>
      </c>
      <c r="E63" s="1" t="n">
        <v>46300</v>
      </c>
      <c r="F63" t="inlineStr">
        <is>
          <t>VÄRMLANDS LÄN</t>
        </is>
      </c>
      <c r="G63" t="inlineStr">
        <is>
          <t>MUNKFORS</t>
        </is>
      </c>
      <c r="H63" t="inlineStr">
        <is>
          <t>Bergvik skog väst AB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29908-2026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46205</v>
      </c>
      <c r="E64" s="1" t="n">
        <v>46300</v>
      </c>
      <c r="F64" t="inlineStr">
        <is>
          <t>VÄRMLANDS LÄN</t>
        </is>
      </c>
      <c r="G64" t="inlineStr">
        <is>
          <t>MUNKFORS</t>
        </is>
      </c>
      <c r="H64" t="inlineStr">
        <is>
          <t>Bergvik skog väst AB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46205</v>
      </c>
      <c r="E65" s="1" t="n">
        <v>46300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29992-2026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46205</v>
      </c>
      <c r="E66" s="1" t="n">
        <v>46300</v>
      </c>
      <c r="F66" t="inlineStr">
        <is>
          <t>VÄRMLANDS LÄN</t>
        </is>
      </c>
      <c r="G66" t="inlineStr">
        <is>
          <t>MUNKFORS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29985-2026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46300</v>
      </c>
      <c r="F67" t="inlineStr">
        <is>
          <t>VÄRMLANDS LÄN</t>
        </is>
      </c>
      <c r="G67" t="inlineStr">
        <is>
          <t>MUNKFORS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34981-2026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46259</v>
      </c>
      <c r="E68" s="1" t="n">
        <v>46300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7687-2023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44972</v>
      </c>
      <c r="E69" s="1" t="n">
        <v>46300</v>
      </c>
      <c r="F69" t="inlineStr">
        <is>
          <t>VÄRMLANDS LÄN</t>
        </is>
      </c>
      <c r="G69" t="inlineStr">
        <is>
          <t>MUNKFORS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36841-2026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46272</v>
      </c>
      <c r="E70" s="1" t="n">
        <v>46300</v>
      </c>
      <c r="F70" t="inlineStr">
        <is>
          <t>VÄRMLANDS LÄN</t>
        </is>
      </c>
      <c r="G70" t="inlineStr">
        <is>
          <t>MUNKFORS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18167-2024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45420</v>
      </c>
      <c r="E71" s="1" t="n">
        <v>46300</v>
      </c>
      <c r="F71" t="inlineStr">
        <is>
          <t>VÄRMLANDS LÄN</t>
        </is>
      </c>
      <c r="G71" t="inlineStr">
        <is>
          <t>MUNKFORS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44098-2023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46300</v>
      </c>
      <c r="F72" t="inlineStr">
        <is>
          <t>VÄRMLANDS LÄN</t>
        </is>
      </c>
      <c r="G72" t="inlineStr">
        <is>
          <t>MUNKFORS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39069-2026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46287</v>
      </c>
      <c r="E73" s="1" t="n">
        <v>46300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46244</v>
      </c>
      <c r="E74" s="1" t="n">
        <v>46300</v>
      </c>
      <c r="F74" t="inlineStr">
        <is>
          <t>VÄRMLANDS LÄN</t>
        </is>
      </c>
      <c r="G74" t="inlineStr">
        <is>
          <t>MUNKFORS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38961-2026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46286</v>
      </c>
      <c r="E75" s="1" t="n">
        <v>46300</v>
      </c>
      <c r="F75" t="inlineStr">
        <is>
          <t>VÄRMLANDS LÄN</t>
        </is>
      </c>
      <c r="G75" t="inlineStr">
        <is>
          <t>MUNKFORS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7646-2023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44972</v>
      </c>
      <c r="E76" s="1" t="n">
        <v>46300</v>
      </c>
      <c r="F76" t="inlineStr">
        <is>
          <t>VÄRMLANDS LÄN</t>
        </is>
      </c>
      <c r="G76" t="inlineStr">
        <is>
          <t>MUNKFORS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27069-2024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45471</v>
      </c>
      <c r="E77" s="1" t="n">
        <v>46300</v>
      </c>
      <c r="F77" t="inlineStr">
        <is>
          <t>VÄRMLANDS LÄN</t>
        </is>
      </c>
      <c r="G77" t="inlineStr">
        <is>
          <t>MUNKFORS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59132-2023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46300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13431-2024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45387</v>
      </c>
      <c r="E79" s="1" t="n">
        <v>46300</v>
      </c>
      <c r="F79" t="inlineStr">
        <is>
          <t>VÄRMLANDS LÄN</t>
        </is>
      </c>
      <c r="G79" t="inlineStr">
        <is>
          <t>MUNKFORS</t>
        </is>
      </c>
      <c r="H79" t="inlineStr">
        <is>
          <t>Bergvik skog väst AB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19220-2026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46300</v>
      </c>
      <c r="F80" t="inlineStr">
        <is>
          <t>VÄRMLANDS LÄN</t>
        </is>
      </c>
      <c r="G80" t="inlineStr">
        <is>
          <t>MUNKFORS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59146-2023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45251</v>
      </c>
      <c r="E81" s="1" t="n">
        <v>46300</v>
      </c>
      <c r="F81" t="inlineStr">
        <is>
          <t>VÄRMLANDS LÄN</t>
        </is>
      </c>
      <c r="G81" t="inlineStr">
        <is>
          <t>MUNKFORS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46300</v>
      </c>
      <c r="F82" t="inlineStr">
        <is>
          <t>VÄRMLANDS LÄN</t>
        </is>
      </c>
      <c r="G82" t="inlineStr">
        <is>
          <t>MUNKFORS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19994-2025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45771</v>
      </c>
      <c r="E83" s="1" t="n">
        <v>46300</v>
      </c>
      <c r="F83" t="inlineStr">
        <is>
          <t>VÄRMLANDS LÄN</t>
        </is>
      </c>
      <c r="G83" t="inlineStr">
        <is>
          <t>MUNKFORS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44957</v>
      </c>
      <c r="E84" s="1" t="n">
        <v>46300</v>
      </c>
      <c r="F84" t="inlineStr">
        <is>
          <t>VÄRMLANDS LÄN</t>
        </is>
      </c>
      <c r="G84" t="inlineStr">
        <is>
          <t>MUNKFORS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54628-2023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45234</v>
      </c>
      <c r="E85" s="1" t="n">
        <v>46300</v>
      </c>
      <c r="F85" t="inlineStr">
        <is>
          <t>VÄRMLANDS LÄN</t>
        </is>
      </c>
      <c r="G85" t="inlineStr">
        <is>
          <t>MUNKFORS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44967</v>
      </c>
      <c r="E86" s="1" t="n">
        <v>46300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15125-2025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46300</v>
      </c>
      <c r="F87" t="inlineStr">
        <is>
          <t>VÄRMLANDS LÄN</t>
        </is>
      </c>
      <c r="G87" t="inlineStr">
        <is>
          <t>MUNKFORS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6579-2025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45699</v>
      </c>
      <c r="E88" s="1" t="n">
        <v>46300</v>
      </c>
      <c r="F88" t="inlineStr">
        <is>
          <t>VÄRMLANDS LÄN</t>
        </is>
      </c>
      <c r="G88" t="inlineStr">
        <is>
          <t>MUNKFORS</t>
        </is>
      </c>
      <c r="H88" t="inlineStr">
        <is>
          <t>Kommuner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44636</v>
      </c>
      <c r="E89" s="1" t="n">
        <v>46300</v>
      </c>
      <c r="F89" t="inlineStr">
        <is>
          <t>VÄRMLANDS LÄN</t>
        </is>
      </c>
      <c r="G89" t="inlineStr">
        <is>
          <t>MUNKFORS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56776-2024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45628</v>
      </c>
      <c r="E90" s="1" t="n">
        <v>46300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21614-2025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45783</v>
      </c>
      <c r="E91" s="1" t="n">
        <v>46300</v>
      </c>
      <c r="F91" t="inlineStr">
        <is>
          <t>VÄRMLANDS LÄN</t>
        </is>
      </c>
      <c r="G91" t="inlineStr">
        <is>
          <t>MUNKFORS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4412-2023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46300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4417-2023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46300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9.5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932-2022</t>
        </is>
      </c>
      <c r="B94" t="inlineStr">
        <is>
          <t>samrådsanmälan</t>
        </is>
      </c>
      <c r="C94" t="inlineStr">
        <is>
          <t>Skogsgödsling</t>
        </is>
      </c>
      <c r="D94" s="1" t="n">
        <v>44606</v>
      </c>
      <c r="E94" s="1" t="n">
        <v>46300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6971-2022</t>
        </is>
      </c>
      <c r="B95" t="inlineStr">
        <is>
          <t>samrådsanmälan</t>
        </is>
      </c>
      <c r="C95" t="inlineStr">
        <is>
          <t>Skogsgödsling</t>
        </is>
      </c>
      <c r="D95" s="1" t="n">
        <v>44901</v>
      </c>
      <c r="E95" s="1" t="n">
        <v>46300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17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S 4413-2023</t>
        </is>
      </c>
      <c r="B96" t="inlineStr">
        <is>
          <t>samrådsanmälan</t>
        </is>
      </c>
      <c r="C96" t="inlineStr">
        <is>
          <t>Skogsgödsling</t>
        </is>
      </c>
      <c r="D96" s="1" t="n">
        <v>45266</v>
      </c>
      <c r="E96" s="1" t="n">
        <v>46300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54.4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923-2022</t>
        </is>
      </c>
      <c r="B97" t="inlineStr">
        <is>
          <t>samrådsanmälan</t>
        </is>
      </c>
      <c r="C97" t="inlineStr">
        <is>
          <t>Skogsgödsling</t>
        </is>
      </c>
      <c r="D97" s="1" t="n">
        <v>44606</v>
      </c>
      <c r="E97" s="1" t="n">
        <v>46300</v>
      </c>
      <c r="F97" t="inlineStr">
        <is>
          <t>VÄRMLANDS LÄN</t>
        </is>
      </c>
      <c r="G97" t="inlineStr">
        <is>
          <t>MUNKFORS</t>
        </is>
      </c>
      <c r="H97" t="inlineStr">
        <is>
          <t>Bergvik skog väst AB</t>
        </is>
      </c>
      <c r="I97" t="n">
        <v>17.4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>
      <c r="A98" t="inlineStr">
        <is>
          <t>S 4416-2023</t>
        </is>
      </c>
      <c r="B98" t="inlineStr">
        <is>
          <t>samrådsanmälan</t>
        </is>
      </c>
      <c r="C98" t="inlineStr">
        <is>
          <t>Skogsgödsling</t>
        </is>
      </c>
      <c r="D98" s="1" t="n">
        <v>45266</v>
      </c>
      <c r="E98" s="1" t="n">
        <v>46300</v>
      </c>
      <c r="F98" t="inlineStr">
        <is>
          <t>VÄRMLANDS LÄN</t>
        </is>
      </c>
      <c r="G98" t="inlineStr">
        <is>
          <t>MUNKFORS</t>
        </is>
      </c>
      <c r="H98" t="inlineStr">
        <is>
          <t>Bergvik skog väst AB</t>
        </is>
      </c>
      <c r="I98" t="n">
        <v>40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2026-10-05T01:56:04Z</dcterms:created>
  <dcterms:modified xmlns:dcterms="http://purl.org/dc/terms/" xmlns:xsi="http://www.w3.org/2001/XMLSchema-instance" xsi:type="dcterms:W3CDTF">2026-10-05T01:56:04Z</dcterms:modified>
</cp:coreProperties>
</file>