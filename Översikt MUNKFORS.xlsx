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449-2022</t>
        </is>
      </c>
      <c r="B2" s="1" t="n">
        <v>44566</v>
      </c>
      <c r="C2" s="1" t="n">
        <v>46205</v>
      </c>
      <c r="D2" t="inlineStr">
        <is>
          <t>VÄRMLANDS LÄN</t>
        </is>
      </c>
      <c r="E2" t="inlineStr">
        <is>
          <t>MUNKFORS</t>
        </is>
      </c>
      <c r="F2" t="inlineStr">
        <is>
          <t>Bergvik skog väst AB</t>
        </is>
      </c>
      <c r="G2" t="n">
        <v>2.8</v>
      </c>
      <c r="H2" t="n">
        <v>4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Tofsmes
Grönsiska
Kungsfågel
Svartvit flugsnappare</t>
        </is>
      </c>
      <c r="S2">
        <f>HYPERLINK("https://klasma.github.io/Logging_1762/artfynd/A 449-2022 artfynd.xlsx", "A 449-2022")</f>
        <v/>
      </c>
      <c r="T2">
        <f>HYPERLINK("https://klasma.github.io/Logging_1762/kartor/A 449-2022 karta.png", "A 449-2022")</f>
        <v/>
      </c>
      <c r="V2">
        <f>HYPERLINK("https://klasma.github.io/Logging_1762/klagomål/A 449-2022 FSC-klagomål.docx", "A 449-2022")</f>
        <v/>
      </c>
      <c r="W2">
        <f>HYPERLINK("https://klasma.github.io/Logging_1762/klagomålsmail/A 449-2022 FSC-klagomål mail.docx", "A 449-2022")</f>
        <v/>
      </c>
      <c r="X2">
        <f>HYPERLINK("https://klasma.github.io/Logging_1762/tillsyn/A 449-2022 tillsynsbegäran.docx", "A 449-2022")</f>
        <v/>
      </c>
      <c r="Y2">
        <f>HYPERLINK("https://klasma.github.io/Logging_1762/tillsynsmail/A 449-2022 tillsynsbegäran mail.docx", "A 449-2022")</f>
        <v/>
      </c>
    </row>
    <row r="3" ht="15" customHeight="1">
      <c r="A3" t="inlineStr">
        <is>
          <t>A 44111-2023</t>
        </is>
      </c>
      <c r="B3" s="1" t="n">
        <v>45188</v>
      </c>
      <c r="C3" s="1" t="n">
        <v>46205</v>
      </c>
      <c r="D3" t="inlineStr">
        <is>
          <t>VÄRMLANDS LÄN</t>
        </is>
      </c>
      <c r="E3" t="inlineStr">
        <is>
          <t>MUNKFORS</t>
        </is>
      </c>
      <c r="G3" t="n">
        <v>7</v>
      </c>
      <c r="H3" t="n">
        <v>0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Daggvide
Bågsäv</t>
        </is>
      </c>
      <c r="S3">
        <f>HYPERLINK("https://klasma.github.io/Logging_1762/artfynd/A 44111-2023 artfynd.xlsx", "A 44111-2023")</f>
        <v/>
      </c>
      <c r="T3">
        <f>HYPERLINK("https://klasma.github.io/Logging_1762/kartor/A 44111-2023 karta.png", "A 44111-2023")</f>
        <v/>
      </c>
      <c r="V3">
        <f>HYPERLINK("https://klasma.github.io/Logging_1762/klagomål/A 44111-2023 FSC-klagomål.docx", "A 44111-2023")</f>
        <v/>
      </c>
      <c r="W3">
        <f>HYPERLINK("https://klasma.github.io/Logging_1762/klagomålsmail/A 44111-2023 FSC-klagomål mail.docx", "A 44111-2023")</f>
        <v/>
      </c>
      <c r="X3">
        <f>HYPERLINK("https://klasma.github.io/Logging_1762/tillsyn/A 44111-2023 tillsynsbegäran.docx", "A 44111-2023")</f>
        <v/>
      </c>
      <c r="Y3">
        <f>HYPERLINK("https://klasma.github.io/Logging_1762/tillsynsmail/A 44111-2023 tillsynsbegäran mail.docx", "A 44111-2023")</f>
        <v/>
      </c>
    </row>
    <row r="4" ht="15" customHeight="1">
      <c r="A4" t="inlineStr">
        <is>
          <t>A 28316-2022</t>
        </is>
      </c>
      <c r="B4" s="1" t="n">
        <v>44747</v>
      </c>
      <c r="C4" s="1" t="n">
        <v>46205</v>
      </c>
      <c r="D4" t="inlineStr">
        <is>
          <t>VÄRMLANDS LÄN</t>
        </is>
      </c>
      <c r="E4" t="inlineStr">
        <is>
          <t>MUNKFORS</t>
        </is>
      </c>
      <c r="G4" t="n">
        <v>2.2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46429-2021</t>
        </is>
      </c>
      <c r="B5" s="1" t="n">
        <v>44441</v>
      </c>
      <c r="C5" s="1" t="n">
        <v>46205</v>
      </c>
      <c r="D5" t="inlineStr">
        <is>
          <t>VÄRMLANDS LÄN</t>
        </is>
      </c>
      <c r="E5" t="inlineStr">
        <is>
          <t>MUNKFORS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24566-2022</t>
        </is>
      </c>
      <c r="B6" s="1" t="n">
        <v>44727</v>
      </c>
      <c r="C6" s="1" t="n">
        <v>46205</v>
      </c>
      <c r="D6" t="inlineStr">
        <is>
          <t>VÄRMLANDS LÄN</t>
        </is>
      </c>
      <c r="E6" t="inlineStr">
        <is>
          <t>MUNKFORS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13599-2022</t>
        </is>
      </c>
      <c r="B7" s="1" t="n">
        <v>44648</v>
      </c>
      <c r="C7" s="1" t="n">
        <v>46205</v>
      </c>
      <c r="D7" t="inlineStr">
        <is>
          <t>VÄRMLANDS LÄN</t>
        </is>
      </c>
      <c r="E7" t="inlineStr">
        <is>
          <t>MUNKFORS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38945-2021</t>
        </is>
      </c>
      <c r="B8" s="1" t="n">
        <v>44411</v>
      </c>
      <c r="C8" s="1" t="n">
        <v>46205</v>
      </c>
      <c r="D8" t="inlineStr">
        <is>
          <t>VÄRMLANDS LÄN</t>
        </is>
      </c>
      <c r="E8" t="inlineStr">
        <is>
          <t>MUNKFORS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38947-2021</t>
        </is>
      </c>
      <c r="B9" s="1" t="n">
        <v>44411</v>
      </c>
      <c r="C9" s="1" t="n">
        <v>46205</v>
      </c>
      <c r="D9" t="inlineStr">
        <is>
          <t>VÄRMLANDS LÄN</t>
        </is>
      </c>
      <c r="E9" t="inlineStr">
        <is>
          <t>MUNKFORS</t>
        </is>
      </c>
      <c r="G9" t="n">
        <v>9.699999999999999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69319-2021</t>
        </is>
      </c>
      <c r="B10" s="1" t="n">
        <v>44531</v>
      </c>
      <c r="C10" s="1" t="n">
        <v>46205</v>
      </c>
      <c r="D10" t="inlineStr">
        <is>
          <t>VÄRMLANDS LÄN</t>
        </is>
      </c>
      <c r="E10" t="inlineStr">
        <is>
          <t>MUNKFORS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13576-2022</t>
        </is>
      </c>
      <c r="B11" s="1" t="n">
        <v>44648</v>
      </c>
      <c r="C11" s="1" t="n">
        <v>46205</v>
      </c>
      <c r="D11" t="inlineStr">
        <is>
          <t>VÄRMLANDS LÄN</t>
        </is>
      </c>
      <c r="E11" t="inlineStr">
        <is>
          <t>MUNKFORS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41150-2022</t>
        </is>
      </c>
      <c r="B12" s="1" t="n">
        <v>44825</v>
      </c>
      <c r="C12" s="1" t="n">
        <v>46205</v>
      </c>
      <c r="D12" t="inlineStr">
        <is>
          <t>VÄRMLANDS LÄN</t>
        </is>
      </c>
      <c r="E12" t="inlineStr">
        <is>
          <t>MUNKFORS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34538-2021</t>
        </is>
      </c>
      <c r="B13" s="1" t="n">
        <v>44382</v>
      </c>
      <c r="C13" s="1" t="n">
        <v>46205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13578-2022</t>
        </is>
      </c>
      <c r="B14" s="1" t="n">
        <v>44648</v>
      </c>
      <c r="C14" s="1" t="n">
        <v>46205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13572-2022</t>
        </is>
      </c>
      <c r="B15" s="1" t="n">
        <v>44648</v>
      </c>
      <c r="C15" s="1" t="n">
        <v>46205</v>
      </c>
      <c r="D15" t="inlineStr">
        <is>
          <t>VÄRMLANDS LÄN</t>
        </is>
      </c>
      <c r="E15" t="inlineStr">
        <is>
          <t>MUNKFORS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18303-2022</t>
        </is>
      </c>
      <c r="B16" s="1" t="n">
        <v>44685</v>
      </c>
      <c r="C16" s="1" t="n">
        <v>46205</v>
      </c>
      <c r="D16" t="inlineStr">
        <is>
          <t>VÄRMLANDS LÄN</t>
        </is>
      </c>
      <c r="E16" t="inlineStr">
        <is>
          <t>MUNKFORS</t>
        </is>
      </c>
      <c r="F16" t="inlineStr">
        <is>
          <t>Bergvik skog väst AB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19994-2025</t>
        </is>
      </c>
      <c r="B17" s="1" t="n">
        <v>45771</v>
      </c>
      <c r="C17" s="1" t="n">
        <v>46205</v>
      </c>
      <c r="D17" t="inlineStr">
        <is>
          <t>VÄRMLANDS LÄN</t>
        </is>
      </c>
      <c r="E17" t="inlineStr">
        <is>
          <t>MUNKFORS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50428-2023</t>
        </is>
      </c>
      <c r="B18" s="1" t="n">
        <v>45216</v>
      </c>
      <c r="C18" s="1" t="n">
        <v>46205</v>
      </c>
      <c r="D18" t="inlineStr">
        <is>
          <t>VÄRMLANDS LÄN</t>
        </is>
      </c>
      <c r="E18" t="inlineStr">
        <is>
          <t>MUNKFORS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38238-2022</t>
        </is>
      </c>
      <c r="B19" s="1" t="n">
        <v>44812</v>
      </c>
      <c r="C19" s="1" t="n">
        <v>46205</v>
      </c>
      <c r="D19" t="inlineStr">
        <is>
          <t>VÄRMLANDS LÄN</t>
        </is>
      </c>
      <c r="E19" t="inlineStr">
        <is>
          <t>MUNKFORS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22225-2024</t>
        </is>
      </c>
      <c r="B20" s="1" t="n">
        <v>45446</v>
      </c>
      <c r="C20" s="1" t="n">
        <v>46205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4610-2023</t>
        </is>
      </c>
      <c r="B21" s="1" t="n">
        <v>44951</v>
      </c>
      <c r="C21" s="1" t="n">
        <v>46205</v>
      </c>
      <c r="D21" t="inlineStr">
        <is>
          <t>VÄRMLANDS LÄN</t>
        </is>
      </c>
      <c r="E21" t="inlineStr">
        <is>
          <t>MUNKFORS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4795-2023</t>
        </is>
      </c>
      <c r="B22" s="1" t="n">
        <v>44957</v>
      </c>
      <c r="C22" s="1" t="n">
        <v>46205</v>
      </c>
      <c r="D22" t="inlineStr">
        <is>
          <t>VÄRMLANDS LÄN</t>
        </is>
      </c>
      <c r="E22" t="inlineStr">
        <is>
          <t>MUNKFORS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54628-2023</t>
        </is>
      </c>
      <c r="B23" s="1" t="n">
        <v>45234</v>
      </c>
      <c r="C23" s="1" t="n">
        <v>46205</v>
      </c>
      <c r="D23" t="inlineStr">
        <is>
          <t>VÄRMLANDS LÄN</t>
        </is>
      </c>
      <c r="E23" t="inlineStr">
        <is>
          <t>MUNKFORS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60794-2024</t>
        </is>
      </c>
      <c r="B24" s="1" t="n">
        <v>45644</v>
      </c>
      <c r="C24" s="1" t="n">
        <v>46205</v>
      </c>
      <c r="D24" t="inlineStr">
        <is>
          <t>VÄRMLANDS LÄN</t>
        </is>
      </c>
      <c r="E24" t="inlineStr">
        <is>
          <t>MUNKFORS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27162-2025</t>
        </is>
      </c>
      <c r="B25" s="1" t="n">
        <v>45812</v>
      </c>
      <c r="C25" s="1" t="n">
        <v>46205</v>
      </c>
      <c r="D25" t="inlineStr">
        <is>
          <t>VÄRMLANDS LÄN</t>
        </is>
      </c>
      <c r="E25" t="inlineStr">
        <is>
          <t>MUNKFORS</t>
        </is>
      </c>
      <c r="F25" t="inlineStr">
        <is>
          <t>Kommuner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30207-2025</t>
        </is>
      </c>
      <c r="B26" s="1" t="n">
        <v>45827</v>
      </c>
      <c r="C26" s="1" t="n">
        <v>46205</v>
      </c>
      <c r="D26" t="inlineStr">
        <is>
          <t>VÄRMLANDS LÄN</t>
        </is>
      </c>
      <c r="E26" t="inlineStr">
        <is>
          <t>MUNKFORS</t>
        </is>
      </c>
      <c r="F26" t="inlineStr">
        <is>
          <t>Bergvik skog väst AB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41967-2025</t>
        </is>
      </c>
      <c r="B27" s="1" t="n">
        <v>45903</v>
      </c>
      <c r="C27" s="1" t="n">
        <v>46205</v>
      </c>
      <c r="D27" t="inlineStr">
        <is>
          <t>VÄRMLANDS LÄN</t>
        </is>
      </c>
      <c r="E27" t="inlineStr">
        <is>
          <t>MUNKFORS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2668-2026</t>
        </is>
      </c>
      <c r="B28" s="1" t="n">
        <v>46037</v>
      </c>
      <c r="C28" s="1" t="n">
        <v>46205</v>
      </c>
      <c r="D28" t="inlineStr">
        <is>
          <t>VÄRMLANDS LÄN</t>
        </is>
      </c>
      <c r="E28" t="inlineStr">
        <is>
          <t>MUNKFORS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45153-2025</t>
        </is>
      </c>
      <c r="B29" s="1" t="n">
        <v>45919</v>
      </c>
      <c r="C29" s="1" t="n">
        <v>46205</v>
      </c>
      <c r="D29" t="inlineStr">
        <is>
          <t>VÄRMLANDS LÄN</t>
        </is>
      </c>
      <c r="E29" t="inlineStr">
        <is>
          <t>MUNKFORS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46577-2025</t>
        </is>
      </c>
      <c r="B30" s="1" t="n">
        <v>45926</v>
      </c>
      <c r="C30" s="1" t="n">
        <v>46205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12588-2023</t>
        </is>
      </c>
      <c r="B31" s="1" t="n">
        <v>45000</v>
      </c>
      <c r="C31" s="1" t="n">
        <v>46205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32389-2022</t>
        </is>
      </c>
      <c r="B32" s="1" t="n">
        <v>44782</v>
      </c>
      <c r="C32" s="1" t="n">
        <v>46205</v>
      </c>
      <c r="D32" t="inlineStr">
        <is>
          <t>VÄRMLANDS LÄN</t>
        </is>
      </c>
      <c r="E32" t="inlineStr">
        <is>
          <t>MUNKFORS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4156-2026</t>
        </is>
      </c>
      <c r="B33" s="1" t="n">
        <v>46044</v>
      </c>
      <c r="C33" s="1" t="n">
        <v>46205</v>
      </c>
      <c r="D33" t="inlineStr">
        <is>
          <t>VÄRMLANDS LÄN</t>
        </is>
      </c>
      <c r="E33" t="inlineStr">
        <is>
          <t>MUNKFORS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59146-2023</t>
        </is>
      </c>
      <c r="B34" s="1" t="n">
        <v>45251</v>
      </c>
      <c r="C34" s="1" t="n">
        <v>46205</v>
      </c>
      <c r="D34" t="inlineStr">
        <is>
          <t>VÄRMLANDS LÄN</t>
        </is>
      </c>
      <c r="E34" t="inlineStr">
        <is>
          <t>MUNKFORS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53284-2025</t>
        </is>
      </c>
      <c r="B35" s="1" t="n">
        <v>45958</v>
      </c>
      <c r="C35" s="1" t="n">
        <v>46205</v>
      </c>
      <c r="D35" t="inlineStr">
        <is>
          <t>VÄRMLANDS LÄN</t>
        </is>
      </c>
      <c r="E35" t="inlineStr">
        <is>
          <t>MUNKFORS</t>
        </is>
      </c>
      <c r="G35" t="n">
        <v>7.3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7688-2023</t>
        </is>
      </c>
      <c r="B36" s="1" t="n">
        <v>44972</v>
      </c>
      <c r="C36" s="1" t="n">
        <v>46205</v>
      </c>
      <c r="D36" t="inlineStr">
        <is>
          <t>VÄRMLANDS LÄN</t>
        </is>
      </c>
      <c r="E36" t="inlineStr">
        <is>
          <t>MUNKFORS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53524-2025</t>
        </is>
      </c>
      <c r="B37" s="1" t="n">
        <v>45960</v>
      </c>
      <c r="C37" s="1" t="n">
        <v>46205</v>
      </c>
      <c r="D37" t="inlineStr">
        <is>
          <t>VÄRMLANDS LÄN</t>
        </is>
      </c>
      <c r="E37" t="inlineStr">
        <is>
          <t>MUNKFORS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12563-2023</t>
        </is>
      </c>
      <c r="B38" s="1" t="n">
        <v>45000</v>
      </c>
      <c r="C38" s="1" t="n">
        <v>46205</v>
      </c>
      <c r="D38" t="inlineStr">
        <is>
          <t>VÄRMLANDS LÄN</t>
        </is>
      </c>
      <c r="E38" t="inlineStr">
        <is>
          <t>MUNKFORS</t>
        </is>
      </c>
      <c r="F38" t="inlineStr">
        <is>
          <t>Bergvik skog väst AB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7683-2023</t>
        </is>
      </c>
      <c r="B39" s="1" t="n">
        <v>44972</v>
      </c>
      <c r="C39" s="1" t="n">
        <v>46205</v>
      </c>
      <c r="D39" t="inlineStr">
        <is>
          <t>VÄRMLANDS LÄN</t>
        </is>
      </c>
      <c r="E39" t="inlineStr">
        <is>
          <t>MUNKFORS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7687-2023</t>
        </is>
      </c>
      <c r="B40" s="1" t="n">
        <v>44972</v>
      </c>
      <c r="C40" s="1" t="n">
        <v>46205</v>
      </c>
      <c r="D40" t="inlineStr">
        <is>
          <t>VÄRMLANDS LÄN</t>
        </is>
      </c>
      <c r="E40" t="inlineStr">
        <is>
          <t>MUNKFORS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55254-2025</t>
        </is>
      </c>
      <c r="B41" s="1" t="n">
        <v>45968</v>
      </c>
      <c r="C41" s="1" t="n">
        <v>46205</v>
      </c>
      <c r="D41" t="inlineStr">
        <is>
          <t>VÄRMLANDS LÄN</t>
        </is>
      </c>
      <c r="E41" t="inlineStr">
        <is>
          <t>MUNKFORS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56023-2025</t>
        </is>
      </c>
      <c r="B42" s="1" t="n">
        <v>45973</v>
      </c>
      <c r="C42" s="1" t="n">
        <v>46205</v>
      </c>
      <c r="D42" t="inlineStr">
        <is>
          <t>VÄRMLANDS LÄN</t>
        </is>
      </c>
      <c r="E42" t="inlineStr">
        <is>
          <t>MUNKFORS</t>
        </is>
      </c>
      <c r="F42" t="inlineStr">
        <is>
          <t>Bergvik skog väst AB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56717-2025</t>
        </is>
      </c>
      <c r="B43" s="1" t="n">
        <v>45975</v>
      </c>
      <c r="C43" s="1" t="n">
        <v>46205</v>
      </c>
      <c r="D43" t="inlineStr">
        <is>
          <t>VÄRMLANDS LÄN</t>
        </is>
      </c>
      <c r="E43" t="inlineStr">
        <is>
          <t>MUNKFORS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57387-2025</t>
        </is>
      </c>
      <c r="B44" s="1" t="n">
        <v>45980</v>
      </c>
      <c r="C44" s="1" t="n">
        <v>46205</v>
      </c>
      <c r="D44" t="inlineStr">
        <is>
          <t>VÄRMLANDS LÄN</t>
        </is>
      </c>
      <c r="E44" t="inlineStr">
        <is>
          <t>MUNKFORS</t>
        </is>
      </c>
      <c r="F44" t="inlineStr">
        <is>
          <t>Kyrkan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44098-2023</t>
        </is>
      </c>
      <c r="B45" s="1" t="n">
        <v>45188</v>
      </c>
      <c r="C45" s="1" t="n">
        <v>46205</v>
      </c>
      <c r="D45" t="inlineStr">
        <is>
          <t>VÄRMLANDS LÄN</t>
        </is>
      </c>
      <c r="E45" t="inlineStr">
        <is>
          <t>MUNKFORS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46447-2023</t>
        </is>
      </c>
      <c r="B46" s="1" t="n">
        <v>45197</v>
      </c>
      <c r="C46" s="1" t="n">
        <v>46205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33908-2022</t>
        </is>
      </c>
      <c r="B47" s="1" t="n">
        <v>44790</v>
      </c>
      <c r="C47" s="1" t="n">
        <v>46205</v>
      </c>
      <c r="D47" t="inlineStr">
        <is>
          <t>VÄRMLANDS LÄN</t>
        </is>
      </c>
      <c r="E47" t="inlineStr">
        <is>
          <t>MUNKFORS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42079-2021</t>
        </is>
      </c>
      <c r="B48" s="1" t="n">
        <v>44426</v>
      </c>
      <c r="C48" s="1" t="n">
        <v>46205</v>
      </c>
      <c r="D48" t="inlineStr">
        <is>
          <t>VÄRMLANDS LÄN</t>
        </is>
      </c>
      <c r="E48" t="inlineStr">
        <is>
          <t>MUNKFORS</t>
        </is>
      </c>
      <c r="F48" t="inlineStr">
        <is>
          <t>Kyrkan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27045-2023</t>
        </is>
      </c>
      <c r="B49" s="1" t="n">
        <v>45095</v>
      </c>
      <c r="C49" s="1" t="n">
        <v>46205</v>
      </c>
      <c r="D49" t="inlineStr">
        <is>
          <t>VÄRMLANDS LÄN</t>
        </is>
      </c>
      <c r="E49" t="inlineStr">
        <is>
          <t>MUNKFORS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13361-2026</t>
        </is>
      </c>
      <c r="B50" s="1" t="n">
        <v>46094</v>
      </c>
      <c r="C50" s="1" t="n">
        <v>46205</v>
      </c>
      <c r="D50" t="inlineStr">
        <is>
          <t>VÄRMLANDS LÄN</t>
        </is>
      </c>
      <c r="E50" t="inlineStr">
        <is>
          <t>MUNKFORS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7646-2023</t>
        </is>
      </c>
      <c r="B51" s="1" t="n">
        <v>44972</v>
      </c>
      <c r="C51" s="1" t="n">
        <v>46205</v>
      </c>
      <c r="D51" t="inlineStr">
        <is>
          <t>VÄRMLANDS LÄN</t>
        </is>
      </c>
      <c r="E51" t="inlineStr">
        <is>
          <t>MUNKFORS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6859-2023</t>
        </is>
      </c>
      <c r="B52" s="1" t="n">
        <v>44967</v>
      </c>
      <c r="C52" s="1" t="n">
        <v>46205</v>
      </c>
      <c r="D52" t="inlineStr">
        <is>
          <t>VÄRMLANDS LÄN</t>
        </is>
      </c>
      <c r="E52" t="inlineStr">
        <is>
          <t>MUNKFORS</t>
        </is>
      </c>
      <c r="F52" t="inlineStr">
        <is>
          <t>Bergvik skog väst AB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62977-2023</t>
        </is>
      </c>
      <c r="B53" s="1" t="n">
        <v>45272</v>
      </c>
      <c r="C53" s="1" t="n">
        <v>46205</v>
      </c>
      <c r="D53" t="inlineStr">
        <is>
          <t>VÄRMLANDS LÄN</t>
        </is>
      </c>
      <c r="E53" t="inlineStr">
        <is>
          <t>MUNKFORS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27069-2024</t>
        </is>
      </c>
      <c r="B54" s="1" t="n">
        <v>45471</v>
      </c>
      <c r="C54" s="1" t="n">
        <v>46205</v>
      </c>
      <c r="D54" t="inlineStr">
        <is>
          <t>VÄRMLANDS LÄN</t>
        </is>
      </c>
      <c r="E54" t="inlineStr">
        <is>
          <t>MUNKFORS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23204-2026</t>
        </is>
      </c>
      <c r="B55" s="1" t="n">
        <v>46162</v>
      </c>
      <c r="C55" s="1" t="n">
        <v>46205</v>
      </c>
      <c r="D55" t="inlineStr">
        <is>
          <t>VÄRMLANDS LÄN</t>
        </is>
      </c>
      <c r="E55" t="inlineStr">
        <is>
          <t>MUNKFORS</t>
        </is>
      </c>
      <c r="F55" t="inlineStr">
        <is>
          <t>Kyrkan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19207-2026</t>
        </is>
      </c>
      <c r="B56" s="1" t="n">
        <v>46132</v>
      </c>
      <c r="C56" s="1" t="n">
        <v>46205</v>
      </c>
      <c r="D56" t="inlineStr">
        <is>
          <t>VÄRMLANDS LÄN</t>
        </is>
      </c>
      <c r="E56" t="inlineStr">
        <is>
          <t>MUNKFORS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19208-2026</t>
        </is>
      </c>
      <c r="B57" s="1" t="n">
        <v>46132</v>
      </c>
      <c r="C57" s="1" t="n">
        <v>46205</v>
      </c>
      <c r="D57" t="inlineStr">
        <is>
          <t>VÄRMLANDS LÄN</t>
        </is>
      </c>
      <c r="E57" t="inlineStr">
        <is>
          <t>MUNKFORS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19172-2026</t>
        </is>
      </c>
      <c r="B58" s="1" t="n">
        <v>46132</v>
      </c>
      <c r="C58" s="1" t="n">
        <v>46205</v>
      </c>
      <c r="D58" t="inlineStr">
        <is>
          <t>VÄRMLANDS LÄN</t>
        </is>
      </c>
      <c r="E58" t="inlineStr">
        <is>
          <t>MUNKFORS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56776-2024</t>
        </is>
      </c>
      <c r="B59" s="1" t="n">
        <v>45628</v>
      </c>
      <c r="C59" s="1" t="n">
        <v>46205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42637-2023</t>
        </is>
      </c>
      <c r="B60" s="1" t="n">
        <v>45181</v>
      </c>
      <c r="C60" s="1" t="n">
        <v>46205</v>
      </c>
      <c r="D60" t="inlineStr">
        <is>
          <t>VÄRMLANDS LÄN</t>
        </is>
      </c>
      <c r="E60" t="inlineStr">
        <is>
          <t>MUNKFORS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9766-2025</t>
        </is>
      </c>
      <c r="B61" s="1" t="n">
        <v>45716</v>
      </c>
      <c r="C61" s="1" t="n">
        <v>46205</v>
      </c>
      <c r="D61" t="inlineStr">
        <is>
          <t>VÄRMLANDS LÄN</t>
        </is>
      </c>
      <c r="E61" t="inlineStr">
        <is>
          <t>MUNKFORS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30160-2025</t>
        </is>
      </c>
      <c r="B62" s="1" t="n">
        <v>45827</v>
      </c>
      <c r="C62" s="1" t="n">
        <v>46205</v>
      </c>
      <c r="D62" t="inlineStr">
        <is>
          <t>VÄRMLANDS LÄN</t>
        </is>
      </c>
      <c r="E62" t="inlineStr">
        <is>
          <t>MUNKFORS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22757-2024</t>
        </is>
      </c>
      <c r="B63" s="1" t="n">
        <v>45448</v>
      </c>
      <c r="C63" s="1" t="n">
        <v>46205</v>
      </c>
      <c r="D63" t="inlineStr">
        <is>
          <t>VÄRMLANDS LÄN</t>
        </is>
      </c>
      <c r="E63" t="inlineStr">
        <is>
          <t>MUNKFORS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65754-2021</t>
        </is>
      </c>
      <c r="B64" s="1" t="n">
        <v>44516</v>
      </c>
      <c r="C64" s="1" t="n">
        <v>46205</v>
      </c>
      <c r="D64" t="inlineStr">
        <is>
          <t>VÄRMLANDS LÄN</t>
        </is>
      </c>
      <c r="E64" t="inlineStr">
        <is>
          <t>MUNKFORS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58050-2024</t>
        </is>
      </c>
      <c r="B65" s="1" t="n">
        <v>45631</v>
      </c>
      <c r="C65" s="1" t="n">
        <v>46205</v>
      </c>
      <c r="D65" t="inlineStr">
        <is>
          <t>VÄRMLANDS LÄN</t>
        </is>
      </c>
      <c r="E65" t="inlineStr">
        <is>
          <t>MUNKFORS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49500-2023</t>
        </is>
      </c>
      <c r="B66" s="1" t="n">
        <v>45211</v>
      </c>
      <c r="C66" s="1" t="n">
        <v>46205</v>
      </c>
      <c r="D66" t="inlineStr">
        <is>
          <t>VÄRMLANDS LÄN</t>
        </is>
      </c>
      <c r="E66" t="inlineStr">
        <is>
          <t>MUNKFORS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55664-2021</t>
        </is>
      </c>
      <c r="B67" s="1" t="n">
        <v>44476</v>
      </c>
      <c r="C67" s="1" t="n">
        <v>46205</v>
      </c>
      <c r="D67" t="inlineStr">
        <is>
          <t>VÄRMLANDS LÄN</t>
        </is>
      </c>
      <c r="E67" t="inlineStr">
        <is>
          <t>MUNKFORS</t>
        </is>
      </c>
      <c r="G67" t="n">
        <v>6.7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22096-2026</t>
        </is>
      </c>
      <c r="B68" s="1" t="n">
        <v>46153</v>
      </c>
      <c r="C68" s="1" t="n">
        <v>46205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8.5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47625-2024</t>
        </is>
      </c>
      <c r="B69" s="1" t="n">
        <v>45588</v>
      </c>
      <c r="C69" s="1" t="n">
        <v>46205</v>
      </c>
      <c r="D69" t="inlineStr">
        <is>
          <t>VÄRMLANDS LÄN</t>
        </is>
      </c>
      <c r="E69" t="inlineStr">
        <is>
          <t>MUNKFORS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24567-2022</t>
        </is>
      </c>
      <c r="B70" s="1" t="n">
        <v>44727</v>
      </c>
      <c r="C70" s="1" t="n">
        <v>46205</v>
      </c>
      <c r="D70" t="inlineStr">
        <is>
          <t>VÄRMLANDS LÄN</t>
        </is>
      </c>
      <c r="E70" t="inlineStr">
        <is>
          <t>MUNKFORS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64772-2023</t>
        </is>
      </c>
      <c r="B71" s="1" t="n">
        <v>45282</v>
      </c>
      <c r="C71" s="1" t="n">
        <v>46205</v>
      </c>
      <c r="D71" t="inlineStr">
        <is>
          <t>VÄRMLANDS LÄN</t>
        </is>
      </c>
      <c r="E71" t="inlineStr">
        <is>
          <t>MUNKFORS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29672-2026</t>
        </is>
      </c>
      <c r="B72" s="1" t="n">
        <v>46204</v>
      </c>
      <c r="C72" s="1" t="n">
        <v>46205</v>
      </c>
      <c r="D72" t="inlineStr">
        <is>
          <t>VÄRMLANDS LÄN</t>
        </is>
      </c>
      <c r="E72" t="inlineStr">
        <is>
          <t>MUNKFORS</t>
        </is>
      </c>
      <c r="F72" t="inlineStr">
        <is>
          <t>Bergvik skog väst AB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23012-2026</t>
        </is>
      </c>
      <c r="B73" s="1" t="n">
        <v>46161</v>
      </c>
      <c r="C73" s="1" t="n">
        <v>46205</v>
      </c>
      <c r="D73" t="inlineStr">
        <is>
          <t>VÄRMLANDS LÄN</t>
        </is>
      </c>
      <c r="E73" t="inlineStr">
        <is>
          <t>MUNKFORS</t>
        </is>
      </c>
      <c r="F73" t="inlineStr">
        <is>
          <t>Kyrkan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29609-2026</t>
        </is>
      </c>
      <c r="B74" s="1" t="n">
        <v>46204</v>
      </c>
      <c r="C74" s="1" t="n">
        <v>46205</v>
      </c>
      <c r="D74" t="inlineStr">
        <is>
          <t>VÄRMLANDS LÄN</t>
        </is>
      </c>
      <c r="E74" t="inlineStr">
        <is>
          <t>MUNKFORS</t>
        </is>
      </c>
      <c r="F74" t="inlineStr">
        <is>
          <t>Bergvik skog väst AB</t>
        </is>
      </c>
      <c r="G74" t="n">
        <v>9.4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23212-2026</t>
        </is>
      </c>
      <c r="B75" s="1" t="n">
        <v>46162</v>
      </c>
      <c r="C75" s="1" t="n">
        <v>46205</v>
      </c>
      <c r="D75" t="inlineStr">
        <is>
          <t>VÄRMLANDS LÄN</t>
        </is>
      </c>
      <c r="E75" t="inlineStr">
        <is>
          <t>MUNKFORS</t>
        </is>
      </c>
      <c r="F75" t="inlineStr">
        <is>
          <t>Kyrkan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18167-2024</t>
        </is>
      </c>
      <c r="B76" s="1" t="n">
        <v>45420</v>
      </c>
      <c r="C76" s="1" t="n">
        <v>46205</v>
      </c>
      <c r="D76" t="inlineStr">
        <is>
          <t>VÄRMLANDS LÄN</t>
        </is>
      </c>
      <c r="E76" t="inlineStr">
        <is>
          <t>MUNKFORS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12114-2022</t>
        </is>
      </c>
      <c r="B77" s="1" t="n">
        <v>44636</v>
      </c>
      <c r="C77" s="1" t="n">
        <v>46205</v>
      </c>
      <c r="D77" t="inlineStr">
        <is>
          <t>VÄRMLANDS LÄN</t>
        </is>
      </c>
      <c r="E77" t="inlineStr">
        <is>
          <t>MUNKFORS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6579-2025</t>
        </is>
      </c>
      <c r="B78" s="1" t="n">
        <v>45699</v>
      </c>
      <c r="C78" s="1" t="n">
        <v>46205</v>
      </c>
      <c r="D78" t="inlineStr">
        <is>
          <t>VÄRMLANDS LÄN</t>
        </is>
      </c>
      <c r="E78" t="inlineStr">
        <is>
          <t>MUNKFORS</t>
        </is>
      </c>
      <c r="F78" t="inlineStr">
        <is>
          <t>Kommuner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13431-2024</t>
        </is>
      </c>
      <c r="B79" s="1" t="n">
        <v>45387</v>
      </c>
      <c r="C79" s="1" t="n">
        <v>46205</v>
      </c>
      <c r="D79" t="inlineStr">
        <is>
          <t>VÄRMLANDS LÄN</t>
        </is>
      </c>
      <c r="E79" t="inlineStr">
        <is>
          <t>MUNKFORS</t>
        </is>
      </c>
      <c r="F79" t="inlineStr">
        <is>
          <t>Bergvik skog väst AB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59128-2023</t>
        </is>
      </c>
      <c r="B80" s="1" t="n">
        <v>45251</v>
      </c>
      <c r="C80" s="1" t="n">
        <v>46205</v>
      </c>
      <c r="D80" t="inlineStr">
        <is>
          <t>VÄRMLANDS LÄN</t>
        </is>
      </c>
      <c r="E80" t="inlineStr">
        <is>
          <t>MUNKFORS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59137-2023</t>
        </is>
      </c>
      <c r="B81" s="1" t="n">
        <v>45251</v>
      </c>
      <c r="C81" s="1" t="n">
        <v>46205</v>
      </c>
      <c r="D81" t="inlineStr">
        <is>
          <t>VÄRMLANDS LÄN</t>
        </is>
      </c>
      <c r="E81" t="inlineStr">
        <is>
          <t>MUNKFORS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15125-2025</t>
        </is>
      </c>
      <c r="B82" s="1" t="n">
        <v>45744</v>
      </c>
      <c r="C82" s="1" t="n">
        <v>46205</v>
      </c>
      <c r="D82" t="inlineStr">
        <is>
          <t>VÄRMLANDS LÄN</t>
        </is>
      </c>
      <c r="E82" t="inlineStr">
        <is>
          <t>MUNKFORS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44104-2023</t>
        </is>
      </c>
      <c r="B83" s="1" t="n">
        <v>45188</v>
      </c>
      <c r="C83" s="1" t="n">
        <v>46205</v>
      </c>
      <c r="D83" t="inlineStr">
        <is>
          <t>VÄRMLANDS LÄN</t>
        </is>
      </c>
      <c r="E83" t="inlineStr">
        <is>
          <t>MUNKFORS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59132-2023</t>
        </is>
      </c>
      <c r="B84" s="1" t="n">
        <v>45251</v>
      </c>
      <c r="C84" s="1" t="n">
        <v>46205</v>
      </c>
      <c r="D84" t="inlineStr">
        <is>
          <t>VÄRMLANDS LÄN</t>
        </is>
      </c>
      <c r="E84" t="inlineStr">
        <is>
          <t>MUNKFORS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3333-2025</t>
        </is>
      </c>
      <c r="B85" s="1" t="n">
        <v>45679</v>
      </c>
      <c r="C85" s="1" t="n">
        <v>46205</v>
      </c>
      <c r="D85" t="inlineStr">
        <is>
          <t>VÄRMLANDS LÄN</t>
        </is>
      </c>
      <c r="E85" t="inlineStr">
        <is>
          <t>MUNKFORS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21614-2025</t>
        </is>
      </c>
      <c r="B86" s="1" t="n">
        <v>45783</v>
      </c>
      <c r="C86" s="1" t="n">
        <v>46205</v>
      </c>
      <c r="D86" t="inlineStr">
        <is>
          <t>VÄRMLANDS LÄN</t>
        </is>
      </c>
      <c r="E86" t="inlineStr">
        <is>
          <t>MUNKFORS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2026-07-02T00:57:58Z</dcterms:created>
  <dcterms:modified xmlns:dcterms="http://purl.org/dc/terms/" xmlns:xsi="http://www.w3.org/2001/XMLSchema-instance" xsi:type="dcterms:W3CDTF">2026-07-02T00:57:58Z</dcterms:modified>
</cp:coreProperties>
</file>